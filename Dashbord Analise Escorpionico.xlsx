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FDFF515-7217-4373-A245-B01008FDD98D}" xr6:coauthVersionLast="47" xr6:coauthVersionMax="47" xr10:uidLastSave="{00000000-0000-0000-0000-000000000000}"/>
  <bookViews>
    <workbookView xWindow="-120" yWindow="-120" windowWidth="15600" windowHeight="11160" firstSheet="2" activeTab="5" xr2:uid="{76152A3C-F59C-420B-AA7C-D528C37A1C24}"/>
  </bookViews>
  <sheets>
    <sheet name="estados" sheetId="2" r:id="rId1"/>
    <sheet name="regiões" sheetId="4" r:id="rId2"/>
    <sheet name="Sexo" sheetId="7" r:id="rId3"/>
    <sheet name="Idade" sheetId="8" r:id="rId4"/>
    <sheet name="Dados" sheetId="1" r:id="rId5"/>
    <sheet name="Darshbord" sheetId="3" r:id="rId6"/>
  </sheets>
  <definedNames>
    <definedName name="SegmentaçãodeDados_Ano">#N/A</definedName>
  </definedNames>
  <calcPr calcId="18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<sst xmlns="http://schemas.openxmlformats.org/spreadsheetml/2006/main" count="140" uniqueCount="39">
  <si>
    <t>Categoria</t>
  </si>
  <si>
    <t>Subcategoria</t>
  </si>
  <si>
    <t>Casos</t>
  </si>
  <si>
    <t>Ano</t>
  </si>
  <si>
    <t>Estados</t>
  </si>
  <si>
    <t>Minas Gerais</t>
  </si>
  <si>
    <t>Espírito Santo</t>
  </si>
  <si>
    <t>Rio de Janeiro</t>
  </si>
  <si>
    <t>São Paulo</t>
  </si>
  <si>
    <t>Região</t>
  </si>
  <si>
    <t>Urbana</t>
  </si>
  <si>
    <t>Rural</t>
  </si>
  <si>
    <t>Periurbana</t>
  </si>
  <si>
    <t>Ignorado</t>
  </si>
  <si>
    <t>Sexo</t>
  </si>
  <si>
    <t>Masculino</t>
  </si>
  <si>
    <t>Feminino</t>
  </si>
  <si>
    <t>Idade</t>
  </si>
  <si>
    <t>Até 9</t>
  </si>
  <si>
    <t>10-19 anos</t>
  </si>
  <si>
    <t>20-29 anos</t>
  </si>
  <si>
    <t>30-39 anos</t>
  </si>
  <si>
    <t>40-49 anos</t>
  </si>
  <si>
    <t>50-59 anos</t>
  </si>
  <si>
    <t>60-64 anos</t>
  </si>
  <si>
    <t>mais de 65</t>
  </si>
  <si>
    <t>Ignorados</t>
  </si>
  <si>
    <t>0-9 anos</t>
  </si>
  <si>
    <t>60-69 anos</t>
  </si>
  <si>
    <t>70-79 anos</t>
  </si>
  <si>
    <t>≥80 anos</t>
  </si>
  <si>
    <t>Rótulos de Linha</t>
  </si>
  <si>
    <t>Total Geral</t>
  </si>
  <si>
    <t>Soma de Casos</t>
  </si>
  <si>
    <t>Rótulos de Coluna</t>
  </si>
  <si>
    <t>Estados Total</t>
  </si>
  <si>
    <t>Região Total</t>
  </si>
  <si>
    <t>Sexo Total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</si>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</sst>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Estilo de Segmentação de Dados 1" pivot="0" table="0" count="0" xr9:uid="{B7904D4E-071D-48BC-B18A-6FC5987D4125}"/>
  </tableStyles>
  <colors>
    <mruColors>
      <color rgb="FFF73DC6"/>
      <color rgb="FF00518E"/>
      <color rgb="FFFFFFFF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Escorpionico.xlsx]estados!Tabela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estados!$B$3:$B$5</c:f>
              <c:strCache>
                <c:ptCount val="1"/>
                <c:pt idx="0">
                  <c:v>Estados - Espírito Santo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estados!$B$6:$B$8</c:f>
              <c:numCache>
                <c:formatCode>General</c:formatCode>
                <c:ptCount val="2"/>
                <c:pt idx="0">
                  <c:v>5451</c:v>
                </c:pt>
                <c:pt idx="1">
                  <c:v>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B-4DDB-99FF-5660F0CE7A4A}"/>
            </c:ext>
          </c:extLst>
        </c:ser>
        <c:ser>
          <c:idx val="1"/>
          <c:order val="1"/>
          <c:tx>
            <c:strRef>
              <c:f>estados!$C$3:$C$5</c:f>
              <c:strCache>
                <c:ptCount val="1"/>
                <c:pt idx="0">
                  <c:v>Estados - Minas Gerais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estados!$C$6:$C$8</c:f>
              <c:numCache>
                <c:formatCode>General</c:formatCode>
                <c:ptCount val="2"/>
                <c:pt idx="0">
                  <c:v>36202</c:v>
                </c:pt>
                <c:pt idx="1">
                  <c:v>38946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243B-4DDB-99FF-5660F0CE7A4A}"/>
            </c:ext>
          </c:extLst>
        </c:ser>
        <c:ser>
          <c:idx val="2"/>
          <c:order val="2"/>
          <c:tx>
            <c:strRef>
              <c:f>estados!$D$3:$D$5</c:f>
              <c:strCache>
                <c:ptCount val="1"/>
                <c:pt idx="0">
                  <c:v>Estados - Rio de Janeiro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estados!$D$6:$D$8</c:f>
              <c:numCache>
                <c:formatCode>General</c:formatCode>
                <c:ptCount val="2"/>
                <c:pt idx="0">
                  <c:v>680</c:v>
                </c:pt>
                <c:pt idx="1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243B-4DDB-99FF-5660F0CE7A4A}"/>
            </c:ext>
          </c:extLst>
        </c:ser>
        <c:ser>
          <c:idx val="3"/>
          <c:order val="3"/>
          <c:tx>
            <c:strRef>
              <c:f>estados!$E$3:$E$5</c:f>
              <c:strCache>
                <c:ptCount val="1"/>
                <c:pt idx="0">
                  <c:v>Estados - São Paulo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estados!$E$6:$E$8</c:f>
              <c:numCache>
                <c:formatCode>General</c:formatCode>
                <c:ptCount val="2"/>
                <c:pt idx="0">
                  <c:v>42757</c:v>
                </c:pt>
                <c:pt idx="1">
                  <c:v>48655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243B-4DDB-99FF-5660F0CE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2015776"/>
        <c:axId val="430414968"/>
        <c:axId val="0"/>
      </c:bar3DChart>
      <c:catAx>
        <c:axId val="4320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414968"/>
        <c:crosses val="autoZero"/>
        <c:auto val="1"/>
        <c:lblAlgn val="ctr"/>
        <c:lblOffset val="100"/>
        <c:noMultiLvlLbl val="0"/>
      </c:catAx>
      <c:valAx>
        <c:axId val="43041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0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Escorpionico.xlsx]regiões!Tabela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regiões!$B$3:$B$5</c:f>
              <c:strCache>
                <c:ptCount val="1"/>
                <c:pt idx="0">
                  <c:v>Região - Ignorado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regiões!$B$6:$B$8</c:f>
              <c:numCache>
                <c:formatCode>General</c:formatCode>
                <c:ptCount val="2"/>
                <c:pt idx="0">
                  <c:v>6100</c:v>
                </c:pt>
                <c:pt idx="1">
                  <c:v>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7-4FED-BA6F-4B63F2D0496D}"/>
            </c:ext>
          </c:extLst>
        </c:ser>
        <c:ser>
          <c:idx val="1"/>
          <c:order val="1"/>
          <c:tx>
            <c:strRef>
              <c:f>regiões!$C$3:$C$5</c:f>
              <c:strCache>
                <c:ptCount val="1"/>
                <c:pt idx="0">
                  <c:v>Região - Periurbana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regiões!$C$6:$C$8</c:f>
              <c:numCache>
                <c:formatCode>General</c:formatCode>
                <c:ptCount val="2"/>
                <c:pt idx="0">
                  <c:v>948</c:v>
                </c:pt>
                <c:pt idx="1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7-4FED-BA6F-4B63F2D0496D}"/>
            </c:ext>
          </c:extLst>
        </c:ser>
        <c:ser>
          <c:idx val="2"/>
          <c:order val="2"/>
          <c:tx>
            <c:strRef>
              <c:f>regiões!$D$3:$D$5</c:f>
              <c:strCache>
                <c:ptCount val="1"/>
                <c:pt idx="0">
                  <c:v>Região - Rural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regiões!$D$6:$D$8</c:f>
              <c:numCache>
                <c:formatCode>General</c:formatCode>
                <c:ptCount val="2"/>
                <c:pt idx="0">
                  <c:v>56209</c:v>
                </c:pt>
                <c:pt idx="1">
                  <c:v>61618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7-4FED-BA6F-4B63F2D0496D}"/>
            </c:ext>
          </c:extLst>
        </c:ser>
        <c:ser>
          <c:idx val="3"/>
          <c:order val="3"/>
          <c:tx>
            <c:strRef>
              <c:f>regiões!$E$3:$E$5</c:f>
              <c:strCache>
                <c:ptCount val="1"/>
                <c:pt idx="0">
                  <c:v>Região - Urbana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regiões!$E$6:$E$8</c:f>
              <c:numCache>
                <c:formatCode>General</c:formatCode>
                <c:ptCount val="2"/>
                <c:pt idx="0">
                  <c:v>120481</c:v>
                </c:pt>
                <c:pt idx="1">
                  <c:v>133700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7-4FED-BA6F-4B63F2D04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102912"/>
        <c:axId val="519102192"/>
      </c:barChart>
      <c:catAx>
        <c:axId val="51910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102192"/>
        <c:crosses val="autoZero"/>
        <c:auto val="1"/>
        <c:lblAlgn val="ctr"/>
        <c:lblOffset val="100"/>
        <c:noMultiLvlLbl val="0"/>
      </c:catAx>
      <c:valAx>
        <c:axId val="5191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1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Escorpionico.xlsx]Sexo!Tabela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Sexo!$B$3:$B$5</c:f>
              <c:strCache>
                <c:ptCount val="1"/>
                <c:pt idx="0">
                  <c:v>Sexo - 2022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4D-45A9-BAA5-D0352B44D0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4D-45A9-BAA5-D0352B44D0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4D-45A9-BAA5-D0352B44D0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Sexo!$A$6:$A$15</c:f>
              <c:multiLvlStrCache>
                <c:ptCount val="6"/>
                <c:lvl>
                  <c:pt idx="0">
                    <c:v>88932</c:v>
                  </c:pt>
                  <c:pt idx="1">
                    <c:v>101632</c:v>
                  </c:pt>
                  <c:pt idx="2">
                    <c:v>29</c:v>
                  </c:pt>
                  <c:pt idx="3">
                    <c:v>5521</c:v>
                  </c:pt>
                  <c:pt idx="4">
                    <c:v>89285</c:v>
                  </c:pt>
                  <c:pt idx="5">
                    <c:v>101053</c:v>
                  </c:pt>
                </c:lvl>
                <c:lvl>
                  <c:pt idx="0">
                    <c:v>Feminino</c:v>
                  </c:pt>
                  <c:pt idx="2">
                    <c:v>Ignorado</c:v>
                  </c:pt>
                  <c:pt idx="4">
                    <c:v>Masculino</c:v>
                  </c:pt>
                </c:lvl>
              </c:multiLvlStrCache>
            </c:multiLvlStrRef>
          </c:cat>
          <c:val>
            <c:numRef>
              <c:f>Sexo!$B$6:$B$15</c:f>
              <c:numCache>
                <c:formatCode>General</c:formatCode>
                <c:ptCount val="6"/>
                <c:pt idx="0">
                  <c:v>88932</c:v>
                </c:pt>
                <c:pt idx="3">
                  <c:v>5521</c:v>
                </c:pt>
                <c:pt idx="4">
                  <c:v>89285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6-4785-B61A-042167FA49AA}"/>
            </c:ext>
          </c:extLst>
        </c:ser>
        <c:ser>
          <c:idx val="1"/>
          <c:order val="1"/>
          <c:tx>
            <c:strRef>
              <c:f>Sexo!$C$3:$C$5</c:f>
              <c:strCache>
                <c:ptCount val="1"/>
                <c:pt idx="0">
                  <c:v>Sexo - 2023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Sexo!$A$6:$A$15</c:f>
              <c:multiLvlStrCache>
                <c:ptCount val="6"/>
                <c:lvl>
                  <c:pt idx="0">
                    <c:v>88932</c:v>
                  </c:pt>
                  <c:pt idx="1">
                    <c:v>101632</c:v>
                  </c:pt>
                  <c:pt idx="2">
                    <c:v>29</c:v>
                  </c:pt>
                  <c:pt idx="3">
                    <c:v>5521</c:v>
                  </c:pt>
                  <c:pt idx="4">
                    <c:v>89285</c:v>
                  </c:pt>
                  <c:pt idx="5">
                    <c:v>101053</c:v>
                  </c:pt>
                </c:lvl>
                <c:lvl>
                  <c:pt idx="0">
                    <c:v>Feminino</c:v>
                  </c:pt>
                  <c:pt idx="2">
                    <c:v>Ignorado</c:v>
                  </c:pt>
                  <c:pt idx="4">
                    <c:v>Masculino</c:v>
                  </c:pt>
                </c:lvl>
              </c:multiLvlStrCache>
            </c:multiLvlStrRef>
          </c:cat>
          <c:val>
            <c:numRef>
              <c:f>Sexo!$C$6:$C$15</c:f>
              <c:numCache>
                <c:formatCode>General</c:formatCode>
                <c:ptCount val="6"/>
                <c:pt idx="1">
                  <c:v>101632</c:v>
                </c:pt>
                <c:pt idx="2">
                  <c:v>29</c:v>
                </c:pt>
                <c:pt idx="5">
                  <c:v>101053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722-4E29-B32F-B41598CF13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Escorpionico.xlsx]Idade!Tabela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Idade!$B$3:$B$4</c:f>
              <c:strCache>
                <c:ptCount val="1"/>
                <c:pt idx="0">
                  <c:v>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Idade!$A$5:$A$25</c:f>
              <c:multiLvlStrCache>
                <c:ptCount val="18"/>
                <c:lvl>
                  <c:pt idx="0">
                    <c:v>10-19 anos</c:v>
                  </c:pt>
                  <c:pt idx="1">
                    <c:v>20-29 anos</c:v>
                  </c:pt>
                  <c:pt idx="2">
                    <c:v>30-39 anos</c:v>
                  </c:pt>
                  <c:pt idx="3">
                    <c:v>40-49 anos</c:v>
                  </c:pt>
                  <c:pt idx="4">
                    <c:v>50-59 anos</c:v>
                  </c:pt>
                  <c:pt idx="5">
                    <c:v>60-64 anos</c:v>
                  </c:pt>
                  <c:pt idx="6">
                    <c:v>Até 9</c:v>
                  </c:pt>
                  <c:pt idx="7">
                    <c:v>Ignorados</c:v>
                  </c:pt>
                  <c:pt idx="8">
                    <c:v>mais de 65</c:v>
                  </c:pt>
                  <c:pt idx="9">
                    <c:v>≥80 anos</c:v>
                  </c:pt>
                  <c:pt idx="10">
                    <c:v>0-9 anos</c:v>
                  </c:pt>
                  <c:pt idx="11">
                    <c:v>10-19 anos</c:v>
                  </c:pt>
                  <c:pt idx="12">
                    <c:v>20-29 anos</c:v>
                  </c:pt>
                  <c:pt idx="13">
                    <c:v>30-39 anos</c:v>
                  </c:pt>
                  <c:pt idx="14">
                    <c:v>40-49 anos</c:v>
                  </c:pt>
                  <c:pt idx="15">
                    <c:v>50-59 anos</c:v>
                  </c:pt>
                  <c:pt idx="16">
                    <c:v>60-69 anos</c:v>
                  </c:pt>
                  <c:pt idx="17">
                    <c:v>70-79 anos</c:v>
                  </c:pt>
                </c:lvl>
                <c:lvl>
                  <c:pt idx="0">
                    <c:v>2022</c:v>
                  </c:pt>
                  <c:pt idx="9">
                    <c:v>2023</c:v>
                  </c:pt>
                </c:lvl>
              </c:multiLvlStrCache>
            </c:multiLvlStrRef>
          </c:cat>
          <c:val>
            <c:numRef>
              <c:f>Idade!$B$5:$B$25</c:f>
              <c:numCache>
                <c:formatCode>General</c:formatCode>
                <c:ptCount val="18"/>
                <c:pt idx="0">
                  <c:v>22594</c:v>
                </c:pt>
                <c:pt idx="1">
                  <c:v>28010</c:v>
                </c:pt>
                <c:pt idx="2">
                  <c:v>25374</c:v>
                </c:pt>
                <c:pt idx="3">
                  <c:v>26039</c:v>
                </c:pt>
                <c:pt idx="4">
                  <c:v>25158</c:v>
                </c:pt>
                <c:pt idx="5">
                  <c:v>10412</c:v>
                </c:pt>
                <c:pt idx="6">
                  <c:v>19013</c:v>
                </c:pt>
                <c:pt idx="7">
                  <c:v>5494</c:v>
                </c:pt>
                <c:pt idx="8">
                  <c:v>21644</c:v>
                </c:pt>
                <c:pt idx="9">
                  <c:v>4092</c:v>
                </c:pt>
                <c:pt idx="10">
                  <c:v>22308</c:v>
                </c:pt>
                <c:pt idx="11">
                  <c:v>25881</c:v>
                </c:pt>
                <c:pt idx="12">
                  <c:v>30820</c:v>
                </c:pt>
                <c:pt idx="13">
                  <c:v>28315</c:v>
                </c:pt>
                <c:pt idx="14">
                  <c:v>29585</c:v>
                </c:pt>
                <c:pt idx="15">
                  <c:v>28270</c:v>
                </c:pt>
                <c:pt idx="16">
                  <c:v>21828</c:v>
                </c:pt>
                <c:pt idx="17">
                  <c:v>11615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4-4007-A259-EEF2D266C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767200"/>
        <c:axId val="527759640"/>
      </c:barChart>
      <c:catAx>
        <c:axId val="5277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759640"/>
        <c:crosses val="autoZero"/>
        <c:auto val="1"/>
        <c:lblAlgn val="ctr"/>
        <c:lblOffset val="100"/>
        <c:noMultiLvlLbl val="0"/>
      </c:catAx>
      <c:valAx>
        <c:axId val="52775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76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Escorpionico.xlsx]estados!Tabela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0" i="0" u="none" strike="noStrike" baseline="0">
                <a:solidFill>
                  <a:schemeClr val="tx1"/>
                </a:solidFill>
              </a:rPr>
              <a:t>Incidência de casos por estado</a:t>
            </a:r>
            <a:endParaRPr lang="pt-BR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255057225972727"/>
          <c:y val="5.7103816537009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5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00B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rgbClr val="00B05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estados!$B$3:$B$5</c:f>
              <c:strCache>
                <c:ptCount val="1"/>
                <c:pt idx="0">
                  <c:v>Estados - Espírito Santo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estados!$B$6:$B$8</c:f>
              <c:numCache>
                <c:formatCode>General</c:formatCode>
                <c:ptCount val="2"/>
                <c:pt idx="0">
                  <c:v>5451</c:v>
                </c:pt>
                <c:pt idx="1">
                  <c:v>5156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3-4757-BC4F-A4C58CA84F54}"/>
            </c:ext>
          </c:extLst>
        </c:ser>
        <c:ser>
          <c:idx val="1"/>
          <c:order val="1"/>
          <c:tx>
            <c:strRef>
              <c:f>estados!$C$3:$C$5</c:f>
              <c:strCache>
                <c:ptCount val="1"/>
                <c:pt idx="0">
                  <c:v>Estados - Minas Gerais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B68-4FC8-9F99-98E7FC85AA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estados!$C$6:$C$8</c:f>
              <c:numCache>
                <c:formatCode>General</c:formatCode>
                <c:ptCount val="2"/>
                <c:pt idx="0">
                  <c:v>36202</c:v>
                </c:pt>
                <c:pt idx="1">
                  <c:v>38946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57C3-4757-BC4F-A4C58CA84F54}"/>
            </c:ext>
          </c:extLst>
        </c:ser>
        <c:ser>
          <c:idx val="2"/>
          <c:order val="2"/>
          <c:tx>
            <c:strRef>
              <c:f>estados!$D$3:$D$5</c:f>
              <c:strCache>
                <c:ptCount val="1"/>
                <c:pt idx="0">
                  <c:v>Estados - Rio de Janeiro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estados!$D$6:$D$8</c:f>
              <c:numCache>
                <c:formatCode>General</c:formatCode>
                <c:ptCount val="2"/>
                <c:pt idx="0">
                  <c:v>680</c:v>
                </c:pt>
                <c:pt idx="1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57C3-4757-BC4F-A4C58CA84F54}"/>
            </c:ext>
          </c:extLst>
        </c:ser>
        <c:ser>
          <c:idx val="3"/>
          <c:order val="3"/>
          <c:tx>
            <c:strRef>
              <c:f>estados!$E$3:$E$5</c:f>
              <c:strCache>
                <c:ptCount val="1"/>
                <c:pt idx="0">
                  <c:v>Estados - São Paulo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estados!$A$6:$A$8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estados!$E$6:$E$8</c:f>
              <c:numCache>
                <c:formatCode>General</c:formatCode>
                <c:ptCount val="2"/>
                <c:pt idx="0">
                  <c:v>42757</c:v>
                </c:pt>
                <c:pt idx="1">
                  <c:v>48655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57C3-4757-BC4F-A4C58CA84F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32015776"/>
        <c:axId val="430414968"/>
        <c:axId val="0"/>
      </c:bar3DChart>
      <c:catAx>
        <c:axId val="4320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0414968"/>
        <c:crosses val="autoZero"/>
        <c:auto val="1"/>
        <c:lblAlgn val="ctr"/>
        <c:lblOffset val="100"/>
        <c:noMultiLvlLbl val="0"/>
      </c:catAx>
      <c:valAx>
        <c:axId val="43041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0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Escorpionico.xlsx]regiões!Tabela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0" i="0" u="none" strike="noStrike" baseline="0">
                <a:solidFill>
                  <a:schemeClr val="tx1"/>
                </a:solidFill>
              </a:rPr>
              <a:t>Distribuição geográfica de ocorrências</a:t>
            </a:r>
            <a:endParaRPr lang="pt-BR" sz="18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81215987536006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regiões!$B$3:$B$5</c:f>
              <c:strCache>
                <c:ptCount val="1"/>
                <c:pt idx="0">
                  <c:v>Região - Ignorado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regiões!$B$6:$B$8</c:f>
              <c:numCache>
                <c:formatCode>General</c:formatCode>
                <c:ptCount val="2"/>
                <c:pt idx="0">
                  <c:v>6100</c:v>
                </c:pt>
                <c:pt idx="1">
                  <c:v>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7-4C66-A442-4DA17B55F1C3}"/>
            </c:ext>
          </c:extLst>
        </c:ser>
        <c:ser>
          <c:idx val="1"/>
          <c:order val="1"/>
          <c:tx>
            <c:strRef>
              <c:f>regiões!$C$3:$C$5</c:f>
              <c:strCache>
                <c:ptCount val="1"/>
                <c:pt idx="0">
                  <c:v>Região - Periurbana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regiões!$C$6:$C$8</c:f>
              <c:numCache>
                <c:formatCode>General</c:formatCode>
                <c:ptCount val="2"/>
                <c:pt idx="0">
                  <c:v>948</c:v>
                </c:pt>
                <c:pt idx="1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67-4C66-A442-4DA17B55F1C3}"/>
            </c:ext>
          </c:extLst>
        </c:ser>
        <c:ser>
          <c:idx val="2"/>
          <c:order val="2"/>
          <c:tx>
            <c:strRef>
              <c:f>regiões!$D$3:$D$5</c:f>
              <c:strCache>
                <c:ptCount val="1"/>
                <c:pt idx="0">
                  <c:v>Região - Rural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regiões!$D$6:$D$8</c:f>
              <c:numCache>
                <c:formatCode>General</c:formatCode>
                <c:ptCount val="2"/>
                <c:pt idx="0">
                  <c:v>56209</c:v>
                </c:pt>
                <c:pt idx="1">
                  <c:v>61618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67-4C66-A442-4DA17B55F1C3}"/>
            </c:ext>
          </c:extLst>
        </c:ser>
        <c:ser>
          <c:idx val="3"/>
          <c:order val="3"/>
          <c:tx>
            <c:strRef>
              <c:f>regiões!$E$3:$E$5</c:f>
              <c:strCache>
                <c:ptCount val="1"/>
                <c:pt idx="0">
                  <c:v>Região - Urbana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regiões!$A$6:$A$8</c:f>
              <c:strCache>
                <c:ptCount val="2"/>
                <c:pt idx="0">
                  <c:v>2022</c:v>
                </c:pt>
                <c:pt idx="1">
                  <c:v>2023</c:v>
                </c:pt>
              </c:strCache>
            </c:strRef>
          </c:cat>
          <c:val>
            <c:numRef>
              <c:f>regiões!$E$6:$E$8</c:f>
              <c:numCache>
                <c:formatCode>General</c:formatCode>
                <c:ptCount val="2"/>
                <c:pt idx="0">
                  <c:v>120481</c:v>
                </c:pt>
                <c:pt idx="1">
                  <c:v>133700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67-4C66-A442-4DA17B55F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9102912"/>
        <c:axId val="519102192"/>
      </c:barChart>
      <c:catAx>
        <c:axId val="51910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102192"/>
        <c:crosses val="autoZero"/>
        <c:auto val="1"/>
        <c:lblAlgn val="ctr"/>
        <c:lblOffset val="100"/>
        <c:noMultiLvlLbl val="0"/>
      </c:catAx>
      <c:valAx>
        <c:axId val="5191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1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38707422814082"/>
          <c:y val="0.19233094511180007"/>
          <c:w val="0.30653252545852355"/>
          <c:h val="0.74438244173317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Escorpionico.xlsx]Sexo!Tabela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>
                <a:solidFill>
                  <a:schemeClr val="tx1"/>
                </a:solidFill>
              </a:rPr>
              <a:t>Distribuição etária</a:t>
            </a:r>
            <a:r>
              <a:rPr lang="en-US">
                <a:solidFill>
                  <a:schemeClr val="tx1"/>
                </a:solidFill>
              </a:rPr>
              <a:t> </a:t>
            </a:r>
          </a:p>
        </c:rich>
      </c:tx>
      <c:layout>
        <c:manualLayout>
          <c:xMode val="edge"/>
          <c:yMode val="edge"/>
          <c:x val="0.20585338739101497"/>
          <c:y val="3.8642708740471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solidFill>
              <a:srgbClr val="F73DC6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solidFill>
              <a:srgbClr val="F73DC6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solidFill>
              <a:srgbClr val="F73DC6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solidFill>
              <a:srgbClr val="F73DC6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rgbClr val="00B050"/>
          </a:solidFill>
          <a:ln>
            <a:solidFill>
              <a:schemeClr val="bg1">
                <a:alpha val="0"/>
              </a:scheme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rgbClr val="F73DC6"/>
          </a:solidFill>
          <a:ln>
            <a:solidFill>
              <a:srgbClr val="F73DC6">
                <a:alpha val="0"/>
              </a:srgb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solidFill>
              <a:srgbClr val="F73DC6">
                <a:alpha val="0"/>
              </a:srgbClr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rgbClr val="F73DC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rgbClr val="F73DC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Sexo!$B$3:$B$5</c:f>
              <c:strCache>
                <c:ptCount val="1"/>
                <c:pt idx="0">
                  <c:v>Sexo - 2022</c:v>
                </c:pt>
              </c:strCache>
            </c:strRef>
          </c:tx>
          <c:dPt>
            <c:idx val="0"/>
            <c:bubble3D val="0"/>
            <c:spPr>
              <a:solidFill>
                <a:srgbClr val="F73DC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B0-4F2A-8086-AA75AD101B3D}"/>
              </c:ext>
            </c:extLst>
          </c:dPt>
          <c:dPt>
            <c:idx val="1"/>
            <c:bubble3D val="0"/>
            <c:spPr>
              <a:solidFill>
                <a:srgbClr val="F73DC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B0-4F2A-8086-AA75AD101B3D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B0-4F2A-8086-AA75AD101B3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56F-4160-AF93-70E6F94FD0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Sexo!$A$6:$A$15</c:f>
              <c:multiLvlStrCache>
                <c:ptCount val="6"/>
                <c:lvl>
                  <c:pt idx="0">
                    <c:v>88932</c:v>
                  </c:pt>
                  <c:pt idx="1">
                    <c:v>101632</c:v>
                  </c:pt>
                  <c:pt idx="2">
                    <c:v>29</c:v>
                  </c:pt>
                  <c:pt idx="3">
                    <c:v>5521</c:v>
                  </c:pt>
                  <c:pt idx="4">
                    <c:v>89285</c:v>
                  </c:pt>
                  <c:pt idx="5">
                    <c:v>101053</c:v>
                  </c:pt>
                </c:lvl>
                <c:lvl>
                  <c:pt idx="0">
                    <c:v>Feminino</c:v>
                  </c:pt>
                  <c:pt idx="2">
                    <c:v>Ignorado</c:v>
                  </c:pt>
                  <c:pt idx="4">
                    <c:v>Masculino</c:v>
                  </c:pt>
                </c:lvl>
              </c:multiLvlStrCache>
            </c:multiLvlStrRef>
          </c:cat>
          <c:val>
            <c:numRef>
              <c:f>Sexo!$B$6:$B$15</c:f>
              <c:numCache>
                <c:formatCode>General</c:formatCode>
                <c:ptCount val="6"/>
                <c:pt idx="0">
                  <c:v>88932</c:v>
                </c:pt>
                <c:pt idx="3">
                  <c:v>5521</c:v>
                </c:pt>
                <c:pt idx="4">
                  <c:v>89285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B0-4F2A-8086-AA75AD101B3D}"/>
            </c:ext>
          </c:extLst>
        </c:ser>
        <c:ser>
          <c:idx val="1"/>
          <c:order val="1"/>
          <c:tx>
            <c:strRef>
              <c:f>Sexo!$C$3:$C$5</c:f>
              <c:strCache>
                <c:ptCount val="1"/>
                <c:pt idx="0">
                  <c:v>Sexo - 2023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73DC6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rgbClr val="F73DC6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rgbClr val="F73DC6"/>
              </a:solidFill>
              <a:ln>
                <a:solidFill>
                  <a:srgbClr val="F73DC6">
                    <a:alpha val="0"/>
                  </a:srgb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rgbClr val="00B050"/>
              </a:solidFill>
              <a:ln>
                <a:solidFill>
                  <a:schemeClr val="bg1">
                    <a:alpha val="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/>
              </a:solidFill>
              <a:ln>
                <a:solidFill>
                  <a:srgbClr val="F73DC6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rgbClr val="F73DC6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1"/>
              </a:solidFill>
              <a:ln>
                <a:solidFill>
                  <a:srgbClr val="F73DC6">
                    <a:alpha val="0"/>
                  </a:srgb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Sexo!$A$6:$A$15</c:f>
              <c:multiLvlStrCache>
                <c:ptCount val="6"/>
                <c:lvl>
                  <c:pt idx="0">
                    <c:v>88932</c:v>
                  </c:pt>
                  <c:pt idx="1">
                    <c:v>101632</c:v>
                  </c:pt>
                  <c:pt idx="2">
                    <c:v>29</c:v>
                  </c:pt>
                  <c:pt idx="3">
                    <c:v>5521</c:v>
                  </c:pt>
                  <c:pt idx="4">
                    <c:v>89285</c:v>
                  </c:pt>
                  <c:pt idx="5">
                    <c:v>101053</c:v>
                  </c:pt>
                </c:lvl>
                <c:lvl>
                  <c:pt idx="0">
                    <c:v>Feminino</c:v>
                  </c:pt>
                  <c:pt idx="2">
                    <c:v>Ignorado</c:v>
                  </c:pt>
                  <c:pt idx="4">
                    <c:v>Masculino</c:v>
                  </c:pt>
                </c:lvl>
              </c:multiLvlStrCache>
            </c:multiLvlStrRef>
          </c:cat>
          <c:val>
            <c:numRef>
              <c:f>Sexo!$C$6:$C$15</c:f>
              <c:numCache>
                <c:formatCode>General</c:formatCode>
                <c:ptCount val="6"/>
                <c:pt idx="1">
                  <c:v>101632</c:v>
                </c:pt>
                <c:pt idx="2">
                  <c:v>29</c:v>
                </c:pt>
                <c:pt idx="5">
                  <c:v>101053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56F-4160-AF93-70E6F94FD0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95307325603147"/>
          <c:y val="0.1339983641161096"/>
          <c:w val="0.32497711038025578"/>
          <c:h val="0.784610188563694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solidFill>
            <a:schemeClr val="bg1">
              <a:alpha val="1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[Dashbord Analise Escorpionico.xlsx]Idade!Tabela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0" i="0" u="none" strike="noStrike" baseline="0">
                <a:solidFill>
                  <a:schemeClr val="tx1"/>
                </a:solidFill>
              </a:rPr>
              <a:t>Segmentação por idade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Idade!$B$3:$B$4</c:f>
              <c:strCache>
                <c:ptCount val="1"/>
                <c:pt idx="0">
                  <c:v>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Idade!$A$5:$A$25</c:f>
              <c:multiLvlStrCache>
                <c:ptCount val="18"/>
                <c:lvl>
                  <c:pt idx="0">
                    <c:v>10-19 anos</c:v>
                  </c:pt>
                  <c:pt idx="1">
                    <c:v>20-29 anos</c:v>
                  </c:pt>
                  <c:pt idx="2">
                    <c:v>30-39 anos</c:v>
                  </c:pt>
                  <c:pt idx="3">
                    <c:v>40-49 anos</c:v>
                  </c:pt>
                  <c:pt idx="4">
                    <c:v>50-59 anos</c:v>
                  </c:pt>
                  <c:pt idx="5">
                    <c:v>60-64 anos</c:v>
                  </c:pt>
                  <c:pt idx="6">
                    <c:v>Até 9</c:v>
                  </c:pt>
                  <c:pt idx="7">
                    <c:v>Ignorados</c:v>
                  </c:pt>
                  <c:pt idx="8">
                    <c:v>mais de 65</c:v>
                  </c:pt>
                  <c:pt idx="9">
                    <c:v>≥80 anos</c:v>
                  </c:pt>
                  <c:pt idx="10">
                    <c:v>0-9 anos</c:v>
                  </c:pt>
                  <c:pt idx="11">
                    <c:v>10-19 anos</c:v>
                  </c:pt>
                  <c:pt idx="12">
                    <c:v>20-29 anos</c:v>
                  </c:pt>
                  <c:pt idx="13">
                    <c:v>30-39 anos</c:v>
                  </c:pt>
                  <c:pt idx="14">
                    <c:v>40-49 anos</c:v>
                  </c:pt>
                  <c:pt idx="15">
                    <c:v>50-59 anos</c:v>
                  </c:pt>
                  <c:pt idx="16">
                    <c:v>60-69 anos</c:v>
                  </c:pt>
                  <c:pt idx="17">
                    <c:v>70-79 anos</c:v>
                  </c:pt>
                </c:lvl>
                <c:lvl>
                  <c:pt idx="0">
                    <c:v>2022</c:v>
                  </c:pt>
                  <c:pt idx="9">
                    <c:v>2023</c:v>
                  </c:pt>
                </c:lvl>
              </c:multiLvlStrCache>
            </c:multiLvlStrRef>
          </c:cat>
          <c:val>
            <c:numRef>
              <c:f>Idade!$B$5:$B$25</c:f>
              <c:numCache>
                <c:formatCode>General</c:formatCode>
                <c:ptCount val="18"/>
                <c:pt idx="0">
                  <c:v>22594</c:v>
                </c:pt>
                <c:pt idx="1">
                  <c:v>28010</c:v>
                </c:pt>
                <c:pt idx="2">
                  <c:v>25374</c:v>
                </c:pt>
                <c:pt idx="3">
                  <c:v>26039</c:v>
                </c:pt>
                <c:pt idx="4">
                  <c:v>25158</c:v>
                </c:pt>
                <c:pt idx="5">
                  <c:v>10412</c:v>
                </c:pt>
                <c:pt idx="6">
                  <c:v>19013</c:v>
                </c:pt>
                <c:pt idx="7">
                  <c:v>5494</c:v>
                </c:pt>
                <c:pt idx="8">
                  <c:v>21644</c:v>
                </c:pt>
                <c:pt idx="9">
                  <c:v>4092</c:v>
                </c:pt>
                <c:pt idx="10">
                  <c:v>22308</c:v>
                </c:pt>
                <c:pt idx="11">
                  <c:v>25881</c:v>
                </c:pt>
                <c:pt idx="12">
                  <c:v>30820</c:v>
                </c:pt>
                <c:pt idx="13">
                  <c:v>28315</c:v>
                </c:pt>
                <c:pt idx="14">
                  <c:v>29585</c:v>
                </c:pt>
                <c:pt idx="15">
                  <c:v>28270</c:v>
                </c:pt>
                <c:pt idx="16">
                  <c:v>21828</c:v>
                </c:pt>
                <c:pt idx="17">
                  <c:v>11615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9CE-AA87-6A5DE3633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767200"/>
        <c:axId val="527759640"/>
      </c:barChart>
      <c:catAx>
        <c:axId val="52776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759640"/>
        <c:crosses val="autoZero"/>
        <c:auto val="1"/>
        <c:lblAlgn val="ctr"/>
        <c:lblOffset val="100"/>
        <c:noMultiLvlLbl val="0"/>
      </c:catAx>
      <c:valAx>
        <c:axId val="52775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776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7</xdr:col>
      <xdr:colOff>266700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47B6A5-E1E5-CB54-52BB-57DBA565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5</xdr:row>
      <xdr:rowOff>95250</xdr:rowOff>
    </xdr:from>
    <xdr:to>
      <xdr:col>4</xdr:col>
      <xdr:colOff>1000125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734D02-1F74-898D-5019-160ABD619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104775</xdr:rowOff>
    </xdr:from>
    <xdr:to>
      <xdr:col>5</xdr:col>
      <xdr:colOff>190500</xdr:colOff>
      <xdr:row>23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412E48-1F1C-9C1E-70CD-253E5F118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5</xdr:row>
      <xdr:rowOff>95250</xdr:rowOff>
    </xdr:from>
    <xdr:to>
      <xdr:col>6</xdr:col>
      <xdr:colOff>19050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E1700D-28EA-1B98-F285-CEE7EFD27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103909</xdr:colOff>
      <xdr:row>14</xdr:row>
      <xdr:rowOff>17318</xdr:rowOff>
    </xdr:from>
    <xdr:to>
      <xdr:col>7</xdr:col>
      <xdr:colOff>519545</xdr:colOff>
      <xdr:row>36</xdr:row>
      <xdr:rowOff>51955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70BD3A-CCE5-4984-A50A-C25CC8A80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110403</xdr:colOff>
      <xdr:row>37</xdr:row>
      <xdr:rowOff>103909</xdr:rowOff>
    </xdr:from>
    <xdr:to>
      <xdr:col>8</xdr:col>
      <xdr:colOff>0</xdr:colOff>
      <xdr:row>53</xdr:row>
      <xdr:rowOff>104342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56381F-5132-4C0A-B514-EC123ED18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430790</xdr:colOff>
      <xdr:row>27</xdr:row>
      <xdr:rowOff>171015</xdr:rowOff>
    </xdr:from>
    <xdr:to>
      <xdr:col>25</xdr:col>
      <xdr:colOff>404813</xdr:colOff>
      <xdr:row>46</xdr:row>
      <xdr:rowOff>166686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726E5E6-C11E-4D29-9BD6-6DA27C7C4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121228</xdr:colOff>
      <xdr:row>31</xdr:row>
      <xdr:rowOff>166688</xdr:rowOff>
    </xdr:from>
    <xdr:to>
      <xdr:col>18</xdr:col>
      <xdr:colOff>428625</xdr:colOff>
      <xdr:row>53</xdr:row>
      <xdr:rowOff>128154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3897C49-894D-4CD1-BB3B-95144C690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121227</xdr:colOff>
      <xdr:row>6</xdr:row>
      <xdr:rowOff>155864</xdr:rowOff>
    </xdr:from>
    <xdr:to>
      <xdr:col>5</xdr:col>
      <xdr:colOff>155863</xdr:colOff>
      <xdr:row>13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2AB08CF5-6E40-D86B-34BF-065F6685F425}"/>
            </a:ext>
          </a:extLst>
        </xdr:cNvPr>
        <xdr:cNvSpPr/>
      </xdr:nvSpPr>
      <xdr:spPr>
        <a:xfrm>
          <a:off x="121227" y="1298864"/>
          <a:ext cx="3065318" cy="1177636"/>
        </a:xfrm>
        <a:prstGeom prst="roundRect">
          <a:avLst/>
        </a:prstGeom>
        <a:solidFill>
          <a:srgbClr val="00518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>
              <a:solidFill>
                <a:schemeClr val="bg1"/>
              </a:solidFill>
            </a:rPr>
            <a:t>TOTAL DE ACIDENTES</a:t>
          </a:r>
        </a:p>
      </xdr:txBody>
    </xdr:sp>
    <xdr:clientData/>
  </xdr:twoCellAnchor>
  <xdr:twoCellAnchor>
    <xdr:from>
      <xdr:col>5</xdr:col>
      <xdr:colOff>325583</xdr:colOff>
      <xdr:row>6</xdr:row>
      <xdr:rowOff>152400</xdr:rowOff>
    </xdr:from>
    <xdr:to>
      <xdr:col>10</xdr:col>
      <xdr:colOff>138545</xdr:colOff>
      <xdr:row>12</xdr:row>
      <xdr:rowOff>187036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9514F13-6706-48BC-A8E4-DD16C18FEC2A}"/>
            </a:ext>
          </a:extLst>
        </xdr:cNvPr>
        <xdr:cNvSpPr/>
      </xdr:nvSpPr>
      <xdr:spPr>
        <a:xfrm>
          <a:off x="3356265" y="1295400"/>
          <a:ext cx="2843644" cy="1177636"/>
        </a:xfrm>
        <a:prstGeom prst="roundRect">
          <a:avLst/>
        </a:prstGeom>
        <a:solidFill>
          <a:srgbClr val="00518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1800"/>
            <a:t>  Crescimento de casos (%)</a:t>
          </a:r>
        </a:p>
      </xdr:txBody>
    </xdr:sp>
    <xdr:clientData/>
  </xdr:twoCellAnchor>
  <xdr:twoCellAnchor editAs="oneCell">
    <xdr:from>
      <xdr:col>9</xdr:col>
      <xdr:colOff>212146</xdr:colOff>
      <xdr:row>20</xdr:row>
      <xdr:rowOff>71004</xdr:rowOff>
    </xdr:from>
    <xdr:to>
      <xdr:col>17</xdr:col>
      <xdr:colOff>459080</xdr:colOff>
      <xdr:row>26</xdr:row>
      <xdr:rowOff>155863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5230BCFD-B38C-8B5B-6B23-962F0E7D6F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7373" y="3881004"/>
              <a:ext cx="5096025" cy="1227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1</xdr:col>
      <xdr:colOff>294410</xdr:colOff>
      <xdr:row>9</xdr:row>
      <xdr:rowOff>51954</xdr:rowOff>
    </xdr:from>
    <xdr:ext cx="1367169" cy="530658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C60DEF87-384B-E622-0254-12E5077E6D75}"/>
            </a:ext>
          </a:extLst>
        </xdr:cNvPr>
        <xdr:cNvSpPr txBox="1"/>
      </xdr:nvSpPr>
      <xdr:spPr>
        <a:xfrm>
          <a:off x="900546" y="1766454"/>
          <a:ext cx="136716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/>
              </a:solidFill>
            </a:rPr>
            <a:t>178.619</a:t>
          </a:r>
        </a:p>
      </xdr:txBody>
    </xdr:sp>
    <xdr:clientData/>
  </xdr:oneCellAnchor>
  <xdr:twoCellAnchor>
    <xdr:from>
      <xdr:col>10</xdr:col>
      <xdr:colOff>287484</xdr:colOff>
      <xdr:row>6</xdr:row>
      <xdr:rowOff>166254</xdr:rowOff>
    </xdr:from>
    <xdr:to>
      <xdr:col>14</xdr:col>
      <xdr:colOff>536864</xdr:colOff>
      <xdr:row>13</xdr:row>
      <xdr:rowOff>10390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6D3F58E4-A9BB-4394-AED8-1F194D08F806}"/>
            </a:ext>
          </a:extLst>
        </xdr:cNvPr>
        <xdr:cNvSpPr/>
      </xdr:nvSpPr>
      <xdr:spPr>
        <a:xfrm>
          <a:off x="6348848" y="1309254"/>
          <a:ext cx="2673925" cy="1177636"/>
        </a:xfrm>
        <a:prstGeom prst="roundRect">
          <a:avLst/>
        </a:prstGeom>
        <a:solidFill>
          <a:srgbClr val="00518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2400"/>
            <a:t>  Estado destaque</a:t>
          </a:r>
        </a:p>
      </xdr:txBody>
    </xdr:sp>
    <xdr:clientData/>
  </xdr:twoCellAnchor>
  <xdr:twoCellAnchor>
    <xdr:from>
      <xdr:col>15</xdr:col>
      <xdr:colOff>93518</xdr:colOff>
      <xdr:row>6</xdr:row>
      <xdr:rowOff>180108</xdr:rowOff>
    </xdr:from>
    <xdr:to>
      <xdr:col>20</xdr:col>
      <xdr:colOff>128154</xdr:colOff>
      <xdr:row>13</xdr:row>
      <xdr:rowOff>24244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8331070B-D988-41C8-97F6-197183FC276C}"/>
            </a:ext>
          </a:extLst>
        </xdr:cNvPr>
        <xdr:cNvSpPr/>
      </xdr:nvSpPr>
      <xdr:spPr>
        <a:xfrm>
          <a:off x="9185563" y="1323108"/>
          <a:ext cx="3065318" cy="1177636"/>
        </a:xfrm>
        <a:prstGeom prst="roundRect">
          <a:avLst/>
        </a:prstGeom>
        <a:solidFill>
          <a:srgbClr val="00518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2400"/>
            <a:t>  Grupo mais afetado</a:t>
          </a:r>
        </a:p>
      </xdr:txBody>
    </xdr:sp>
    <xdr:clientData/>
  </xdr:twoCellAnchor>
  <xdr:twoCellAnchor>
    <xdr:from>
      <xdr:col>20</xdr:col>
      <xdr:colOff>297874</xdr:colOff>
      <xdr:row>7</xdr:row>
      <xdr:rowOff>3463</xdr:rowOff>
    </xdr:from>
    <xdr:to>
      <xdr:col>25</xdr:col>
      <xdr:colOff>332510</xdr:colOff>
      <xdr:row>13</xdr:row>
      <xdr:rowOff>38099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9E38AA54-78DD-4326-BA89-3A689661EA1F}"/>
            </a:ext>
          </a:extLst>
        </xdr:cNvPr>
        <xdr:cNvSpPr/>
      </xdr:nvSpPr>
      <xdr:spPr>
        <a:xfrm>
          <a:off x="12420601" y="1336963"/>
          <a:ext cx="3065318" cy="1177636"/>
        </a:xfrm>
        <a:prstGeom prst="roundRect">
          <a:avLst/>
        </a:prstGeom>
        <a:solidFill>
          <a:srgbClr val="00518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r>
            <a:rPr lang="pt-BR" sz="2400"/>
            <a:t> Sexo com mais casos</a:t>
          </a:r>
        </a:p>
      </xdr:txBody>
    </xdr:sp>
    <xdr:clientData/>
  </xdr:twoCellAnchor>
  <xdr:oneCellAnchor>
    <xdr:from>
      <xdr:col>7</xdr:col>
      <xdr:colOff>103908</xdr:colOff>
      <xdr:row>9</xdr:row>
      <xdr:rowOff>0</xdr:rowOff>
    </xdr:from>
    <xdr:ext cx="982641" cy="655885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1FB4FC61-7D12-C059-94BB-E58C192397B6}"/>
            </a:ext>
          </a:extLst>
        </xdr:cNvPr>
        <xdr:cNvSpPr txBox="1"/>
      </xdr:nvSpPr>
      <xdr:spPr>
        <a:xfrm>
          <a:off x="4346863" y="1714500"/>
          <a:ext cx="982641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600">
              <a:solidFill>
                <a:schemeClr val="bg1"/>
              </a:solidFill>
            </a:rPr>
            <a:t>10%</a:t>
          </a:r>
        </a:p>
      </xdr:txBody>
    </xdr:sp>
    <xdr:clientData/>
  </xdr:oneCellAnchor>
  <xdr:oneCellAnchor>
    <xdr:from>
      <xdr:col>11</xdr:col>
      <xdr:colOff>242455</xdr:colOff>
      <xdr:row>9</xdr:row>
      <xdr:rowOff>103909</xdr:rowOff>
    </xdr:from>
    <xdr:ext cx="2130136" cy="530658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196CE6B3-736E-3065-6603-5C09E7776270}"/>
            </a:ext>
          </a:extLst>
        </xdr:cNvPr>
        <xdr:cNvSpPr txBox="1"/>
      </xdr:nvSpPr>
      <xdr:spPr>
        <a:xfrm>
          <a:off x="6909955" y="1818409"/>
          <a:ext cx="213013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800">
              <a:solidFill>
                <a:schemeClr val="bg1"/>
              </a:solidFill>
            </a:rPr>
            <a:t>São Paulo</a:t>
          </a:r>
        </a:p>
      </xdr:txBody>
    </xdr:sp>
    <xdr:clientData/>
  </xdr:oneCellAnchor>
  <xdr:oneCellAnchor>
    <xdr:from>
      <xdr:col>16</xdr:col>
      <xdr:colOff>190500</xdr:colOff>
      <xdr:row>9</xdr:row>
      <xdr:rowOff>121227</xdr:rowOff>
    </xdr:from>
    <xdr:ext cx="1794017" cy="530658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8B2D5B4-AB6E-9541-8998-960DC9FF3640}"/>
            </a:ext>
          </a:extLst>
        </xdr:cNvPr>
        <xdr:cNvSpPr txBox="1"/>
      </xdr:nvSpPr>
      <xdr:spPr>
        <a:xfrm>
          <a:off x="9888682" y="1835727"/>
          <a:ext cx="179401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>
              <a:solidFill>
                <a:schemeClr val="bg1"/>
              </a:solidFill>
            </a:rPr>
            <a:t>20-29 anos</a:t>
          </a:r>
        </a:p>
      </xdr:txBody>
    </xdr:sp>
    <xdr:clientData/>
  </xdr:oneCellAnchor>
  <xdr:oneCellAnchor>
    <xdr:from>
      <xdr:col>21</xdr:col>
      <xdr:colOff>242454</xdr:colOff>
      <xdr:row>9</xdr:row>
      <xdr:rowOff>69272</xdr:rowOff>
    </xdr:from>
    <xdr:ext cx="1935723" cy="655885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5372C302-182E-86AA-5D47-148E14054534}"/>
            </a:ext>
          </a:extLst>
        </xdr:cNvPr>
        <xdr:cNvSpPr txBox="1"/>
      </xdr:nvSpPr>
      <xdr:spPr>
        <a:xfrm>
          <a:off x="12971318" y="1783772"/>
          <a:ext cx="1935723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600">
              <a:solidFill>
                <a:schemeClr val="bg1"/>
              </a:solidFill>
            </a:rPr>
            <a:t>Feminino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8.679369328704" createdVersion="8" refreshedVersion="8" minRefreshableVersion="3" recordCount="40" xr:uid="{EBE88D91-789B-40A1-ACDF-4AC5AE29531A}">
  <cacheSource type="worksheet">
    <worksheetSource name="Tabela1"/>
  </cacheSource>
  <cacheFields count="4">
    <cacheField name="Categoria" numFmtId="0">
      <sharedItems count="4">
        <s v="Estados"/>
        <s v="Região"/>
        <s v="Sexo"/>
        <s v="Idade"/>
      </sharedItems>
    </cacheField>
    <cacheField name="Subcategoria" numFmtId="0">
      <sharedItems count="23">
        <s v="Minas Gerais"/>
        <s v="Espírito Santo"/>
        <s v="Rio de Janeiro"/>
        <s v="São Paulo"/>
        <s v="Urbana"/>
        <s v="Rural"/>
        <s v="Periurbana"/>
        <s v="Ignorado"/>
        <s v="Masculino"/>
        <s v="Feminino"/>
        <s v="Até 9"/>
        <s v="10-19 anos"/>
        <s v="20-29 anos"/>
        <s v="30-39 anos"/>
        <s v="40-49 anos"/>
        <s v="50-59 anos"/>
        <s v="60-64 anos"/>
        <s v="mais de 65"/>
        <s v="Ignorados"/>
        <s v="0-9 anos"/>
        <s v="60-69 anos"/>
        <s v="70-79 anos"/>
        <s v="≥80 anos"/>
      </sharedItems>
    </cacheField>
    <cacheField name="Casos" numFmtId="0">
      <sharedItems containsSemiMixedTypes="0" containsString="0" containsNumber="1" containsInteger="1" minValue="29" maxValue="133700" count="40">
        <n v="36202"/>
        <n v="5451"/>
        <n v="680"/>
        <n v="42757"/>
        <n v="38946"/>
        <n v="5156"/>
        <n v="772"/>
        <n v="48655"/>
        <n v="120481"/>
        <n v="56209"/>
        <n v="948"/>
        <n v="6100"/>
        <n v="133700"/>
        <n v="61618"/>
        <n v="1076"/>
        <n v="6320"/>
        <n v="89285"/>
        <n v="88932"/>
        <n v="5521"/>
        <n v="101053"/>
        <n v="101632"/>
        <n v="29"/>
        <n v="19013"/>
        <n v="22594"/>
        <n v="28010"/>
        <n v="25374"/>
        <n v="26039"/>
        <n v="25158"/>
        <n v="10412"/>
        <n v="21644"/>
        <n v="5494"/>
        <n v="22308"/>
        <n v="25881"/>
        <n v="30820"/>
        <n v="28315"/>
        <n v="29585"/>
        <n v="28270"/>
        <n v="21828"/>
        <n v="11615"/>
        <n v="4092"/>
      </sharedItems>
    </cacheField>
    <cacheField name="Ano" numFmtId="0">
      <sharedItems containsSemiMixedTypes="0" containsString="0" containsNumber="1" containsInteger="1" minValue="2022" maxValue="2023" count="2">
        <n v="2022"/>
        <n v="2023"/>
      </sharedItems>
    </cacheField>
  </cacheFields>
  <extLst>
    <ext xmlns:x14="http://schemas.microsoft.com/office/spreadsheetml/2009/9/main" uri="{725AE2AE-9491-48be-B2B4-4EB974FC3084}">
      <x14:pivotCacheDefinition pivotCacheId="12263295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0"/>
    <x v="4"/>
    <x v="1"/>
  </r>
  <r>
    <x v="0"/>
    <x v="1"/>
    <x v="5"/>
    <x v="1"/>
  </r>
  <r>
    <x v="0"/>
    <x v="2"/>
    <x v="6"/>
    <x v="1"/>
  </r>
  <r>
    <x v="0"/>
    <x v="3"/>
    <x v="7"/>
    <x v="1"/>
  </r>
  <r>
    <x v="1"/>
    <x v="4"/>
    <x v="8"/>
    <x v="0"/>
  </r>
  <r>
    <x v="1"/>
    <x v="5"/>
    <x v="9"/>
    <x v="0"/>
  </r>
  <r>
    <x v="1"/>
    <x v="6"/>
    <x v="10"/>
    <x v="0"/>
  </r>
  <r>
    <x v="1"/>
    <x v="7"/>
    <x v="11"/>
    <x v="0"/>
  </r>
  <r>
    <x v="1"/>
    <x v="4"/>
    <x v="12"/>
    <x v="1"/>
  </r>
  <r>
    <x v="1"/>
    <x v="5"/>
    <x v="13"/>
    <x v="1"/>
  </r>
  <r>
    <x v="1"/>
    <x v="6"/>
    <x v="14"/>
    <x v="1"/>
  </r>
  <r>
    <x v="1"/>
    <x v="7"/>
    <x v="15"/>
    <x v="1"/>
  </r>
  <r>
    <x v="2"/>
    <x v="8"/>
    <x v="16"/>
    <x v="0"/>
  </r>
  <r>
    <x v="2"/>
    <x v="9"/>
    <x v="17"/>
    <x v="0"/>
  </r>
  <r>
    <x v="2"/>
    <x v="7"/>
    <x v="18"/>
    <x v="0"/>
  </r>
  <r>
    <x v="2"/>
    <x v="8"/>
    <x v="19"/>
    <x v="1"/>
  </r>
  <r>
    <x v="2"/>
    <x v="9"/>
    <x v="20"/>
    <x v="1"/>
  </r>
  <r>
    <x v="2"/>
    <x v="7"/>
    <x v="21"/>
    <x v="1"/>
  </r>
  <r>
    <x v="3"/>
    <x v="10"/>
    <x v="22"/>
    <x v="0"/>
  </r>
  <r>
    <x v="3"/>
    <x v="11"/>
    <x v="23"/>
    <x v="0"/>
  </r>
  <r>
    <x v="3"/>
    <x v="12"/>
    <x v="24"/>
    <x v="0"/>
  </r>
  <r>
    <x v="3"/>
    <x v="13"/>
    <x v="25"/>
    <x v="0"/>
  </r>
  <r>
    <x v="3"/>
    <x v="14"/>
    <x v="26"/>
    <x v="0"/>
  </r>
  <r>
    <x v="3"/>
    <x v="15"/>
    <x v="27"/>
    <x v="0"/>
  </r>
  <r>
    <x v="3"/>
    <x v="16"/>
    <x v="28"/>
    <x v="0"/>
  </r>
  <r>
    <x v="3"/>
    <x v="17"/>
    <x v="29"/>
    <x v="0"/>
  </r>
  <r>
    <x v="3"/>
    <x v="18"/>
    <x v="30"/>
    <x v="0"/>
  </r>
  <r>
    <x v="3"/>
    <x v="19"/>
    <x v="31"/>
    <x v="1"/>
  </r>
  <r>
    <x v="3"/>
    <x v="11"/>
    <x v="32"/>
    <x v="1"/>
  </r>
  <r>
    <x v="3"/>
    <x v="12"/>
    <x v="33"/>
    <x v="1"/>
  </r>
  <r>
    <x v="3"/>
    <x v="13"/>
    <x v="34"/>
    <x v="1"/>
  </r>
  <r>
    <x v="3"/>
    <x v="14"/>
    <x v="35"/>
    <x v="1"/>
  </r>
  <r>
    <x v="3"/>
    <x v="15"/>
    <x v="36"/>
    <x v="1"/>
  </r>
  <r>
    <x v="3"/>
    <x v="20"/>
    <x v="37"/>
    <x v="1"/>
  </r>
  <r>
    <x v="3"/>
    <x v="21"/>
    <x v="38"/>
    <x v="1"/>
  </r>
  <r>
    <x v="3"/>
    <x v="22"/>
    <x v="3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8734B-DD3E-448C-A6EB-C5948610C0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G8" firstHeaderRow="1" firstDataRow="3" firstDataCol="1"/>
  <pivotFields count="4">
    <pivotField axis="axisCol" showAll="0">
      <items count="5">
        <item x="0"/>
        <item h="1" x="3"/>
        <item h="1" x="1"/>
        <item h="1" x="2"/>
        <item t="default"/>
      </items>
    </pivotField>
    <pivotField axis="axisCol" showAll="0">
      <items count="24">
        <item x="22"/>
        <item x="19"/>
        <item x="11"/>
        <item x="12"/>
        <item x="13"/>
        <item x="14"/>
        <item x="15"/>
        <item x="16"/>
        <item x="20"/>
        <item x="21"/>
        <item x="10"/>
        <item x="1"/>
        <item x="9"/>
        <item x="7"/>
        <item x="18"/>
        <item x="17"/>
        <item x="8"/>
        <item x="0"/>
        <item x="6"/>
        <item x="2"/>
        <item x="5"/>
        <item x="3"/>
        <item x="4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2">
    <field x="0"/>
    <field x="1"/>
  </colFields>
  <colItems count="6">
    <i>
      <x/>
      <x v="11"/>
    </i>
    <i r="1">
      <x v="17"/>
    </i>
    <i r="1">
      <x v="19"/>
    </i>
    <i r="1">
      <x v="21"/>
    </i>
    <i t="default">
      <x/>
    </i>
    <i t="grand">
      <x/>
    </i>
  </colItems>
  <dataFields count="1">
    <dataField name="Soma de Casos" fld="2" baseField="0" baseItem="0"/>
  </dataFields>
  <chartFormats count="55"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9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1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1"/>
          </reference>
        </references>
      </pivotArea>
    </chartFormat>
    <chartFormat chart="2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7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07F77-E26C-4860-BCB2-BD180682D42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G8" firstHeaderRow="1" firstDataRow="3" firstDataCol="1"/>
  <pivotFields count="4">
    <pivotField axis="axisCol" showAll="0">
      <items count="5">
        <item h="1" x="0"/>
        <item h="1" x="3"/>
        <item x="1"/>
        <item h="1" x="2"/>
        <item t="default"/>
      </items>
    </pivotField>
    <pivotField axis="axisCol" showAll="0">
      <items count="24">
        <item x="22"/>
        <item x="19"/>
        <item x="11"/>
        <item x="12"/>
        <item x="13"/>
        <item x="14"/>
        <item x="15"/>
        <item x="16"/>
        <item x="20"/>
        <item x="21"/>
        <item x="10"/>
        <item x="1"/>
        <item x="9"/>
        <item x="7"/>
        <item x="18"/>
        <item x="17"/>
        <item x="8"/>
        <item x="0"/>
        <item x="6"/>
        <item x="2"/>
        <item x="5"/>
        <item x="3"/>
        <item x="4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2">
    <field x="0"/>
    <field x="1"/>
  </colFields>
  <colItems count="6">
    <i>
      <x v="2"/>
      <x v="13"/>
    </i>
    <i r="1">
      <x v="18"/>
    </i>
    <i r="1">
      <x v="20"/>
    </i>
    <i r="1">
      <x v="22"/>
    </i>
    <i t="default">
      <x v="2"/>
    </i>
    <i t="grand">
      <x/>
    </i>
  </colItems>
  <dataFields count="1">
    <dataField name="Soma de Casos" fld="2" baseField="0" baseItem="0"/>
  </dataFields>
  <chartFormats count="9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3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3"/>
          </reference>
        </references>
      </pivotArea>
    </chartFormat>
    <chartFormat chart="3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8"/>
          </reference>
        </references>
      </pivotArea>
    </chartFormat>
    <chartFormat chart="3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</references>
      </pivotArea>
    </chartFormat>
    <chartFormat chart="3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2"/>
          </reference>
        </references>
      </pivotArea>
    </chartFormat>
    <chartFormat chart="3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5C182-F1C0-4632-B090-F93EE561E36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E15" firstHeaderRow="1" firstDataRow="3" firstDataCol="1"/>
  <pivotFields count="4">
    <pivotField axis="axisCol" showAll="0">
      <items count="5">
        <item h="1" x="0"/>
        <item h="1" x="3"/>
        <item h="1" x="1"/>
        <item x="2"/>
        <item t="default"/>
      </items>
    </pivotField>
    <pivotField axis="axisRow" showAll="0">
      <items count="24">
        <item x="22"/>
        <item x="19"/>
        <item x="11"/>
        <item x="12"/>
        <item x="13"/>
        <item x="14"/>
        <item x="15"/>
        <item x="16"/>
        <item x="20"/>
        <item x="21"/>
        <item x="10"/>
        <item x="1"/>
        <item x="9"/>
        <item x="7"/>
        <item x="18"/>
        <item x="17"/>
        <item x="8"/>
        <item x="0"/>
        <item x="6"/>
        <item x="2"/>
        <item x="5"/>
        <item x="3"/>
        <item x="4"/>
        <item t="default"/>
      </items>
    </pivotField>
    <pivotField axis="axisRow" dataField="1" showAll="0">
      <items count="41">
        <item x="21"/>
        <item x="2"/>
        <item x="6"/>
        <item x="10"/>
        <item x="14"/>
        <item x="39"/>
        <item x="5"/>
        <item x="1"/>
        <item x="30"/>
        <item x="18"/>
        <item x="11"/>
        <item x="15"/>
        <item x="28"/>
        <item x="38"/>
        <item x="22"/>
        <item x="29"/>
        <item x="37"/>
        <item x="31"/>
        <item x="23"/>
        <item x="27"/>
        <item x="25"/>
        <item x="32"/>
        <item x="26"/>
        <item x="24"/>
        <item x="36"/>
        <item x="34"/>
        <item x="35"/>
        <item x="33"/>
        <item x="0"/>
        <item x="4"/>
        <item x="3"/>
        <item x="7"/>
        <item x="9"/>
        <item x="13"/>
        <item x="17"/>
        <item x="16"/>
        <item x="19"/>
        <item x="20"/>
        <item x="8"/>
        <item x="12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1"/>
    <field x="2"/>
  </rowFields>
  <rowItems count="10">
    <i>
      <x v="12"/>
    </i>
    <i r="1">
      <x v="34"/>
    </i>
    <i r="1">
      <x v="37"/>
    </i>
    <i>
      <x v="13"/>
    </i>
    <i r="1">
      <x/>
    </i>
    <i r="1">
      <x v="9"/>
    </i>
    <i>
      <x v="16"/>
    </i>
    <i r="1">
      <x v="35"/>
    </i>
    <i r="1">
      <x v="36"/>
    </i>
    <i t="grand">
      <x/>
    </i>
  </rowItems>
  <colFields count="2">
    <field x="0"/>
    <field x="3"/>
  </colFields>
  <colItems count="4">
    <i>
      <x v="3"/>
      <x/>
    </i>
    <i r="1">
      <x v="1"/>
    </i>
    <i t="default">
      <x v="3"/>
    </i>
    <i t="grand">
      <x/>
    </i>
  </colItems>
  <dataFields count="1">
    <dataField name="Soma de Casos" fld="2" baseField="0" baseItem="0"/>
  </dataFields>
  <chartFormats count="25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4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3" count="1" selected="0">
            <x v="0"/>
          </reference>
        </references>
      </pivotArea>
    </chartFormat>
    <chartFormat chart="4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3" count="1" selected="0">
            <x v="0"/>
          </reference>
        </references>
      </pivotArea>
    </chartFormat>
    <chartFormat chart="4" format="2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3" count="1" selected="0">
            <x v="0"/>
          </reference>
        </references>
      </pivotArea>
    </chartFormat>
    <chartFormat chart="4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  <chartFormat chart="4" format="23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3" count="1" selected="0">
            <x v="1"/>
          </reference>
        </references>
      </pivotArea>
    </chartFormat>
    <chartFormat chart="4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3" count="1" selected="0">
            <x v="1"/>
          </reference>
        </references>
      </pivotArea>
    </chartFormat>
    <chartFormat chart="4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3" count="1" selected="0">
            <x v="1"/>
          </reference>
        </references>
      </pivotArea>
    </chartFormat>
    <chartFormat chart="0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3" count="1" selected="0">
            <x v="1"/>
          </reference>
        </references>
      </pivotArea>
    </chartFormat>
    <chartFormat chart="0" format="13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14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2" count="1" selected="0">
            <x v="36"/>
          </reference>
          <reference field="3" count="1" selected="0">
            <x v="1"/>
          </reference>
        </references>
      </pivotArea>
    </chartFormat>
    <chartFormat chart="4" format="26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27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2" count="1" selected="0">
            <x v="37"/>
          </reference>
          <reference field="3" count="1" selected="0">
            <x v="1"/>
          </reference>
        </references>
      </pivotArea>
    </chartFormat>
    <chartFormat chart="4" format="28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2" count="1" selected="0">
            <x v="36"/>
          </reference>
          <reference field="3" count="1" selected="0">
            <x v="1"/>
          </reference>
        </references>
      </pivotArea>
    </chartFormat>
    <chartFormat chart="4" format="29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2" count="1" selected="0">
            <x v="9"/>
          </reference>
          <reference field="3" count="1" selected="0">
            <x v="0"/>
          </reference>
        </references>
      </pivotArea>
    </chartFormat>
    <chartFormat chart="4" format="30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2" count="1" selected="0">
            <x v="35"/>
          </reference>
          <reference field="3" count="1" selected="0">
            <x v="0"/>
          </reference>
        </references>
      </pivotArea>
    </chartFormat>
    <chartFormat chart="4" format="31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2" count="1" selected="0">
            <x v="34"/>
          </reference>
          <reference field="3" count="1" selected="0">
            <x v="0"/>
          </reference>
        </references>
      </pivotArea>
    </chartFormat>
    <chartFormat chart="4" format="32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3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" format="33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6"/>
          </reference>
          <reference field="2" count="1" selected="0">
            <x v="36"/>
          </reference>
          <reference field="3" count="1" selected="0">
            <x v="0"/>
          </reference>
        </references>
      </pivotArea>
    </chartFormat>
    <chartFormat chart="4" format="34">
      <pivotArea type="data" outline="0" fieldPosition="0">
        <references count="5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2"/>
          </reference>
          <reference field="2" count="1" selected="0">
            <x v="37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5958B-9AEE-42B6-91AF-739D3A36C36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C25" firstHeaderRow="1" firstDataRow="2" firstDataCol="1"/>
  <pivotFields count="4">
    <pivotField axis="axisCol" showAll="0">
      <items count="5">
        <item h="1" x="0"/>
        <item x="3"/>
        <item h="1" x="1"/>
        <item h="1" x="2"/>
        <item t="default"/>
      </items>
    </pivotField>
    <pivotField axis="axisRow" showAll="0">
      <items count="24">
        <item x="22"/>
        <item x="19"/>
        <item x="11"/>
        <item x="12"/>
        <item x="13"/>
        <item x="14"/>
        <item x="15"/>
        <item x="16"/>
        <item x="20"/>
        <item x="21"/>
        <item x="10"/>
        <item x="1"/>
        <item x="9"/>
        <item x="7"/>
        <item x="18"/>
        <item x="17"/>
        <item x="8"/>
        <item x="0"/>
        <item x="6"/>
        <item x="2"/>
        <item x="5"/>
        <item x="3"/>
        <item x="4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1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4"/>
    </i>
    <i r="1">
      <x v="1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t="grand">
      <x/>
    </i>
  </rowItems>
  <colFields count="1">
    <field x="0"/>
  </colFields>
  <colItems count="2">
    <i>
      <x v="1"/>
    </i>
    <i t="grand">
      <x/>
    </i>
  </colItems>
  <dataFields count="1">
    <dataField name="Soma de Casos" fld="2" baseField="0" baseItem="0"/>
  </dataFields>
  <chartFormats count="33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3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3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3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3" count="1" selected="0">
            <x v="1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3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3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DE5CE918-17FF-4053-90F2-88850CE5336F}" sourceName="Ano">
  <pivotTables>
    <pivotTable tabId="2" name="Tabela dinâmica1"/>
    <pivotTable tabId="8" name="Tabela dinâmica5"/>
    <pivotTable tabId="4" name="Tabela dinâmica2"/>
    <pivotTable tabId="7" name="Tabela dinâmica4"/>
  </pivotTables>
  <data>
    <tabular pivotCacheId="1226329581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D35A17A0-E3A5-4D3E-BDC5-B2514528AFB3}" cache="SegmentaçãodeDados_Ano" caption="Ano" columnCount="2" style="SlicerStyleOther2" rowHeight="68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5DAB1-51B9-4782-A9F7-523E59A45806}" name="Tabela1" displayName="Tabela1" ref="A1:D41" totalsRowShown="0">
  <autoFilter ref="A1:D41" xr:uid="{0EE5DAB1-51B9-4782-A9F7-523E59A45806}"/>
  <tableColumns count="4">
    <tableColumn id="1" xr3:uid="{14D626B2-833C-4D98-9686-D5A98C6BD5D5}" name="Categoria"/>
    <tableColumn id="2" xr3:uid="{0E88966E-2FD1-418A-A603-CABEB1E4E5F4}" name="Subcategoria"/>
    <tableColumn id="3" xr3:uid="{E9E029E5-47A5-4FD5-BAA6-E84CBFEFC2DD}" name="Casos"/>
    <tableColumn id="4" xr3:uid="{66238BAD-F2ED-4A5D-800D-F9E90328641B}" name="A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48CC-EB1D-4AC6-BFDE-B7E63E04F314}">
  <dimension ref="A3:G8"/>
  <sheetViews>
    <sheetView workbookViewId="0">
      <selection activeCell="J30" sqref="J30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2.5703125" bestFit="1" customWidth="1"/>
    <col min="4" max="4" width="13.5703125" bestFit="1" customWidth="1"/>
    <col min="5" max="5" width="9.5703125" bestFit="1" customWidth="1"/>
    <col min="6" max="6" width="12.5703125" bestFit="1" customWidth="1"/>
    <col min="7" max="7" width="10.7109375" bestFit="1" customWidth="1"/>
    <col min="8" max="8" width="11.42578125" bestFit="1" customWidth="1"/>
    <col min="9" max="9" width="14.5703125" bestFit="1" customWidth="1"/>
    <col min="10" max="10" width="10.7109375" bestFit="1" customWidth="1"/>
    <col min="11" max="11" width="10.28515625" bestFit="1" customWidth="1"/>
    <col min="12" max="12" width="6" bestFit="1" customWidth="1"/>
    <col min="13" max="13" width="13.28515625" bestFit="1" customWidth="1"/>
    <col min="14" max="14" width="9.42578125" bestFit="1" customWidth="1"/>
    <col min="15" max="15" width="8.85546875" bestFit="1" customWidth="1"/>
    <col min="16" max="16" width="9.7109375" bestFit="1" customWidth="1"/>
    <col min="17" max="17" width="10.28515625" bestFit="1" customWidth="1"/>
    <col min="18" max="18" width="10.140625" bestFit="1" customWidth="1"/>
    <col min="19" max="19" width="12.5703125" bestFit="1" customWidth="1"/>
    <col min="20" max="20" width="10.7109375" bestFit="1" customWidth="1"/>
    <col min="21" max="21" width="13.5703125" bestFit="1" customWidth="1"/>
    <col min="22" max="22" width="7" bestFit="1" customWidth="1"/>
    <col min="23" max="23" width="9.5703125" bestFit="1" customWidth="1"/>
    <col min="24" max="24" width="7.42578125" bestFit="1" customWidth="1"/>
    <col min="25" max="25" width="10.7109375" bestFit="1" customWidth="1"/>
  </cols>
  <sheetData>
    <row r="3" spans="1:7" x14ac:dyDescent="0.25">
      <c r="A3" s="1" t="s">
        <v>33</v>
      </c>
      <c r="B3" s="1" t="s">
        <v>34</v>
      </c>
    </row>
    <row r="4" spans="1:7" x14ac:dyDescent="0.25">
      <c r="B4" t="s">
        <v>4</v>
      </c>
      <c r="F4" t="s">
        <v>35</v>
      </c>
      <c r="G4" t="s">
        <v>32</v>
      </c>
    </row>
    <row r="5" spans="1:7" x14ac:dyDescent="0.25">
      <c r="A5" s="1" t="s">
        <v>31</v>
      </c>
      <c r="B5" t="s">
        <v>6</v>
      </c>
      <c r="C5" t="s">
        <v>5</v>
      </c>
      <c r="D5" t="s">
        <v>7</v>
      </c>
      <c r="E5" t="s">
        <v>8</v>
      </c>
    </row>
    <row r="6" spans="1:7" x14ac:dyDescent="0.25">
      <c r="A6" s="2">
        <v>2022</v>
      </c>
      <c r="B6" s="4">
        <v>5451</v>
      </c>
      <c r="C6" s="4">
        <v>36202</v>
      </c>
      <c r="D6" s="4">
        <v>680</v>
      </c>
      <c r="E6" s="4">
        <v>42757</v>
      </c>
      <c r="F6" s="4">
        <v>85090</v>
      </c>
      <c r="G6" s="4">
        <v>85090</v>
      </c>
    </row>
    <row r="7" spans="1:7" x14ac:dyDescent="0.25">
      <c r="A7" s="2">
        <v>2023</v>
      </c>
      <c r="B7" s="4">
        <v>5156</v>
      </c>
      <c r="C7" s="4">
        <v>38946</v>
      </c>
      <c r="D7" s="4">
        <v>772</v>
      </c>
      <c r="E7" s="4">
        <v>48655</v>
      </c>
      <c r="F7" s="4">
        <v>93529</v>
      </c>
      <c r="G7" s="4">
        <v>93529</v>
      </c>
    </row>
    <row r="8" spans="1:7" x14ac:dyDescent="0.25">
      <c r="A8" s="2" t="s">
        <v>32</v>
      </c>
      <c r="B8" s="4">
        <v>10607</v>
      </c>
      <c r="C8" s="4">
        <v>75148</v>
      </c>
      <c r="D8" s="4">
        <v>1452</v>
      </c>
      <c r="E8" s="4">
        <v>91412</v>
      </c>
      <c r="F8" s="4">
        <v>178619</v>
      </c>
      <c r="G8" s="4">
        <v>178619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9E1C-21A1-41FC-9A49-B0D7842C2EA9}">
  <dimension ref="A3:G8"/>
  <sheetViews>
    <sheetView workbookViewId="0">
      <selection activeCell="E25" sqref="E25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0.7109375" bestFit="1" customWidth="1"/>
    <col min="4" max="4" width="7" bestFit="1" customWidth="1"/>
    <col min="5" max="5" width="7.42578125" bestFit="1" customWidth="1"/>
    <col min="6" max="6" width="11.85546875" bestFit="1" customWidth="1"/>
    <col min="7" max="7" width="10.7109375" bestFit="1" customWidth="1"/>
    <col min="8" max="8" width="9.28515625" bestFit="1" customWidth="1"/>
    <col min="9" max="9" width="12.28515625" bestFit="1" customWidth="1"/>
    <col min="10" max="10" width="10.7109375" bestFit="1" customWidth="1"/>
    <col min="11" max="11" width="9.85546875" bestFit="1" customWidth="1"/>
    <col min="12" max="12" width="10.7109375" bestFit="1" customWidth="1"/>
    <col min="13" max="13" width="10.28515625" bestFit="1" customWidth="1"/>
    <col min="14" max="14" width="10.140625" bestFit="1" customWidth="1"/>
    <col min="15" max="15" width="12.5703125" bestFit="1" customWidth="1"/>
    <col min="16" max="16" width="10.7109375" bestFit="1" customWidth="1"/>
    <col min="17" max="17" width="13.5703125" bestFit="1" customWidth="1"/>
    <col min="18" max="18" width="6" bestFit="1" customWidth="1"/>
    <col min="19" max="19" width="9.5703125" bestFit="1" customWidth="1"/>
    <col min="20" max="20" width="7.42578125" bestFit="1" customWidth="1"/>
    <col min="21" max="21" width="9.85546875" bestFit="1" customWidth="1"/>
    <col min="22" max="22" width="8.5703125" bestFit="1" customWidth="1"/>
    <col min="23" max="23" width="8.28515625" bestFit="1" customWidth="1"/>
    <col min="24" max="30" width="10.28515625" bestFit="1" customWidth="1"/>
    <col min="31" max="31" width="13.28515625" bestFit="1" customWidth="1"/>
    <col min="32" max="32" width="9.42578125" bestFit="1" customWidth="1"/>
    <col min="33" max="33" width="8.85546875" bestFit="1" customWidth="1"/>
    <col min="34" max="34" width="10.140625" bestFit="1" customWidth="1"/>
    <col min="35" max="35" width="12.5703125" bestFit="1" customWidth="1"/>
    <col min="36" max="36" width="10.7109375" bestFit="1" customWidth="1"/>
    <col min="37" max="37" width="13.5703125" bestFit="1" customWidth="1"/>
    <col min="38" max="38" width="6" bestFit="1" customWidth="1"/>
    <col min="39" max="39" width="9.5703125" bestFit="1" customWidth="1"/>
    <col min="40" max="40" width="7.42578125" bestFit="1" customWidth="1"/>
    <col min="41" max="41" width="9.85546875" bestFit="1" customWidth="1"/>
    <col min="42" max="42" width="10.7109375" bestFit="1" customWidth="1"/>
    <col min="43" max="43" width="14.7109375" bestFit="1" customWidth="1"/>
    <col min="44" max="44" width="12.140625" bestFit="1" customWidth="1"/>
    <col min="45" max="45" width="15.28515625" bestFit="1" customWidth="1"/>
    <col min="46" max="46" width="10.85546875" bestFit="1" customWidth="1"/>
    <col min="47" max="47" width="10.7109375" bestFit="1" customWidth="1"/>
    <col min="48" max="48" width="5" bestFit="1" customWidth="1"/>
    <col min="49" max="49" width="13.85546875" bestFit="1" customWidth="1"/>
    <col min="50" max="50" width="12.5703125" bestFit="1" customWidth="1"/>
    <col min="51" max="51" width="5" bestFit="1" customWidth="1"/>
    <col min="52" max="52" width="15.7109375" bestFit="1" customWidth="1"/>
    <col min="53" max="53" width="7.42578125" bestFit="1" customWidth="1"/>
    <col min="54" max="54" width="6" bestFit="1" customWidth="1"/>
    <col min="55" max="55" width="10.42578125" bestFit="1" customWidth="1"/>
    <col min="56" max="56" width="9.28515625" bestFit="1" customWidth="1"/>
    <col min="57" max="57" width="7" bestFit="1" customWidth="1"/>
    <col min="58" max="58" width="12.28515625" bestFit="1" customWidth="1"/>
    <col min="59" max="59" width="11.85546875" bestFit="1" customWidth="1"/>
    <col min="60" max="60" width="11.28515625" bestFit="1" customWidth="1"/>
    <col min="61" max="61" width="7" bestFit="1" customWidth="1"/>
    <col min="62" max="62" width="14.42578125" bestFit="1" customWidth="1"/>
    <col min="63" max="63" width="10.7109375" bestFit="1" customWidth="1"/>
    <col min="64" max="64" width="5" bestFit="1" customWidth="1"/>
    <col min="65" max="65" width="13.85546875" bestFit="1" customWidth="1"/>
    <col min="66" max="66" width="12" bestFit="1" customWidth="1"/>
    <col min="67" max="67" width="7" bestFit="1" customWidth="1"/>
    <col min="68" max="68" width="15.140625" bestFit="1" customWidth="1"/>
    <col min="69" max="69" width="10.140625" bestFit="1" customWidth="1"/>
    <col min="70" max="70" width="10.7109375" bestFit="1" customWidth="1"/>
  </cols>
  <sheetData>
    <row r="3" spans="1:7" x14ac:dyDescent="0.25">
      <c r="A3" s="1" t="s">
        <v>33</v>
      </c>
      <c r="B3" s="1" t="s">
        <v>34</v>
      </c>
    </row>
    <row r="4" spans="1:7" x14ac:dyDescent="0.25">
      <c r="B4" t="s">
        <v>9</v>
      </c>
      <c r="F4" t="s">
        <v>36</v>
      </c>
      <c r="G4" t="s">
        <v>32</v>
      </c>
    </row>
    <row r="5" spans="1:7" x14ac:dyDescent="0.25">
      <c r="A5" s="1" t="s">
        <v>31</v>
      </c>
      <c r="B5" t="s">
        <v>13</v>
      </c>
      <c r="C5" t="s">
        <v>12</v>
      </c>
      <c r="D5" t="s">
        <v>11</v>
      </c>
      <c r="E5" t="s">
        <v>10</v>
      </c>
    </row>
    <row r="6" spans="1:7" x14ac:dyDescent="0.25">
      <c r="A6" s="2">
        <v>2022</v>
      </c>
      <c r="B6" s="4">
        <v>6100</v>
      </c>
      <c r="C6" s="4">
        <v>948</v>
      </c>
      <c r="D6" s="4">
        <v>56209</v>
      </c>
      <c r="E6" s="4">
        <v>120481</v>
      </c>
      <c r="F6" s="4">
        <v>183738</v>
      </c>
      <c r="G6" s="4">
        <v>183738</v>
      </c>
    </row>
    <row r="7" spans="1:7" x14ac:dyDescent="0.25">
      <c r="A7" s="2">
        <v>2023</v>
      </c>
      <c r="B7" s="4">
        <v>6320</v>
      </c>
      <c r="C7" s="4">
        <v>1076</v>
      </c>
      <c r="D7" s="4">
        <v>61618</v>
      </c>
      <c r="E7" s="4">
        <v>133700</v>
      </c>
      <c r="F7" s="4">
        <v>202714</v>
      </c>
      <c r="G7" s="4">
        <v>202714</v>
      </c>
    </row>
    <row r="8" spans="1:7" x14ac:dyDescent="0.25">
      <c r="A8" s="2" t="s">
        <v>32</v>
      </c>
      <c r="B8" s="4">
        <v>12420</v>
      </c>
      <c r="C8" s="4">
        <v>2024</v>
      </c>
      <c r="D8" s="4">
        <v>117827</v>
      </c>
      <c r="E8" s="4">
        <v>254181</v>
      </c>
      <c r="F8" s="4">
        <v>386452</v>
      </c>
      <c r="G8" s="4">
        <v>386452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21B7-C407-4BBB-80EA-E935D8C6BBEC}">
  <dimension ref="A3:E15"/>
  <sheetViews>
    <sheetView workbookViewId="0">
      <selection activeCell="AG15" sqref="N6:AG15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7" bestFit="1" customWidth="1"/>
    <col min="4" max="4" width="10.140625" bestFit="1" customWidth="1"/>
    <col min="5" max="6" width="10.7109375" bestFit="1" customWidth="1"/>
    <col min="7" max="7" width="15.140625" bestFit="1" customWidth="1"/>
    <col min="8" max="8" width="10.7109375" bestFit="1" customWidth="1"/>
    <col min="9" max="9" width="9.85546875" bestFit="1" customWidth="1"/>
    <col min="10" max="10" width="10.7109375" bestFit="1" customWidth="1"/>
    <col min="11" max="11" width="8.85546875" bestFit="1" customWidth="1"/>
    <col min="12" max="12" width="9.7109375" bestFit="1" customWidth="1"/>
    <col min="13" max="13" width="10.28515625" bestFit="1" customWidth="1"/>
    <col min="14" max="14" width="10.140625" bestFit="1" customWidth="1"/>
    <col min="15" max="15" width="12.5703125" bestFit="1" customWidth="1"/>
    <col min="16" max="16" width="10.7109375" bestFit="1" customWidth="1"/>
    <col min="17" max="17" width="13.5703125" bestFit="1" customWidth="1"/>
    <col min="18" max="18" width="6" bestFit="1" customWidth="1"/>
    <col min="19" max="19" width="9.5703125" bestFit="1" customWidth="1"/>
    <col min="20" max="20" width="7.42578125" bestFit="1" customWidth="1"/>
    <col min="21" max="21" width="9.85546875" bestFit="1" customWidth="1"/>
    <col min="22" max="22" width="8.5703125" bestFit="1" customWidth="1"/>
    <col min="23" max="23" width="8.28515625" bestFit="1" customWidth="1"/>
    <col min="24" max="30" width="10.28515625" bestFit="1" customWidth="1"/>
    <col min="31" max="31" width="13.28515625" bestFit="1" customWidth="1"/>
    <col min="32" max="32" width="9.42578125" bestFit="1" customWidth="1"/>
    <col min="33" max="33" width="8.85546875" bestFit="1" customWidth="1"/>
    <col min="34" max="34" width="10.140625" bestFit="1" customWidth="1"/>
    <col min="35" max="35" width="12.5703125" bestFit="1" customWidth="1"/>
    <col min="36" max="36" width="10.7109375" bestFit="1" customWidth="1"/>
    <col min="37" max="37" width="13.5703125" bestFit="1" customWidth="1"/>
    <col min="38" max="38" width="6" bestFit="1" customWidth="1"/>
    <col min="39" max="39" width="9.5703125" bestFit="1" customWidth="1"/>
    <col min="40" max="40" width="7.42578125" bestFit="1" customWidth="1"/>
    <col min="41" max="41" width="9.85546875" bestFit="1" customWidth="1"/>
    <col min="42" max="42" width="10.7109375" bestFit="1" customWidth="1"/>
    <col min="43" max="43" width="7" bestFit="1" customWidth="1"/>
    <col min="44" max="44" width="15.140625" bestFit="1" customWidth="1"/>
    <col min="45" max="45" width="14.42578125" bestFit="1" customWidth="1"/>
    <col min="46" max="46" width="6" bestFit="1" customWidth="1"/>
    <col min="47" max="47" width="17.7109375" bestFit="1" customWidth="1"/>
    <col min="48" max="48" width="12.5703125" bestFit="1" customWidth="1"/>
    <col min="49" max="49" width="5" bestFit="1" customWidth="1"/>
    <col min="50" max="50" width="15.7109375" bestFit="1" customWidth="1"/>
    <col min="51" max="51" width="15.42578125" bestFit="1" customWidth="1"/>
    <col min="52" max="52" width="5" bestFit="1" customWidth="1"/>
    <col min="53" max="53" width="18.5703125" bestFit="1" customWidth="1"/>
    <col min="54" max="54" width="7.42578125" bestFit="1" customWidth="1"/>
    <col min="55" max="55" width="6" bestFit="1" customWidth="1"/>
    <col min="56" max="56" width="10.42578125" bestFit="1" customWidth="1"/>
    <col min="57" max="57" width="11.42578125" bestFit="1" customWidth="1"/>
    <col min="58" max="58" width="6" bestFit="1" customWidth="1"/>
    <col min="59" max="59" width="14.5703125" bestFit="1" customWidth="1"/>
    <col min="60" max="60" width="9.28515625" bestFit="1" customWidth="1"/>
    <col min="61" max="61" width="7" bestFit="1" customWidth="1"/>
    <col min="62" max="62" width="12.28515625" bestFit="1" customWidth="1"/>
    <col min="63" max="63" width="10.7109375" bestFit="1" customWidth="1"/>
    <col min="64" max="64" width="5" bestFit="1" customWidth="1"/>
    <col min="65" max="65" width="13.85546875" bestFit="1" customWidth="1"/>
    <col min="66" max="66" width="12" bestFit="1" customWidth="1"/>
    <col min="67" max="67" width="7" bestFit="1" customWidth="1"/>
    <col min="68" max="68" width="15.140625" bestFit="1" customWidth="1"/>
    <col min="69" max="69" width="10.140625" bestFit="1" customWidth="1"/>
    <col min="70" max="70" width="10.7109375" bestFit="1" customWidth="1"/>
  </cols>
  <sheetData>
    <row r="3" spans="1:5" x14ac:dyDescent="0.25">
      <c r="A3" s="1" t="s">
        <v>33</v>
      </c>
      <c r="B3" s="1" t="s">
        <v>34</v>
      </c>
    </row>
    <row r="4" spans="1:5" x14ac:dyDescent="0.25">
      <c r="B4" t="s">
        <v>14</v>
      </c>
      <c r="D4" t="s">
        <v>37</v>
      </c>
      <c r="E4" t="s">
        <v>32</v>
      </c>
    </row>
    <row r="5" spans="1:5" x14ac:dyDescent="0.25">
      <c r="A5" s="1" t="s">
        <v>31</v>
      </c>
      <c r="B5">
        <v>2022</v>
      </c>
      <c r="C5">
        <v>2023</v>
      </c>
    </row>
    <row r="6" spans="1:5" x14ac:dyDescent="0.25">
      <c r="A6" s="2" t="s">
        <v>16</v>
      </c>
      <c r="B6" s="4">
        <v>88932</v>
      </c>
      <c r="C6" s="4">
        <v>101632</v>
      </c>
      <c r="D6" s="4">
        <v>190564</v>
      </c>
      <c r="E6" s="4">
        <v>190564</v>
      </c>
    </row>
    <row r="7" spans="1:5" x14ac:dyDescent="0.25">
      <c r="A7" s="3">
        <v>88932</v>
      </c>
      <c r="B7" s="4">
        <v>88932</v>
      </c>
      <c r="C7" s="4"/>
      <c r="D7" s="4">
        <v>88932</v>
      </c>
      <c r="E7" s="4">
        <v>88932</v>
      </c>
    </row>
    <row r="8" spans="1:5" x14ac:dyDescent="0.25">
      <c r="A8" s="3">
        <v>101632</v>
      </c>
      <c r="B8" s="4"/>
      <c r="C8" s="4">
        <v>101632</v>
      </c>
      <c r="D8" s="4">
        <v>101632</v>
      </c>
      <c r="E8" s="4">
        <v>101632</v>
      </c>
    </row>
    <row r="9" spans="1:5" x14ac:dyDescent="0.25">
      <c r="A9" s="2" t="s">
        <v>13</v>
      </c>
      <c r="B9" s="4">
        <v>5521</v>
      </c>
      <c r="C9" s="4">
        <v>29</v>
      </c>
      <c r="D9" s="4">
        <v>5550</v>
      </c>
      <c r="E9" s="4">
        <v>5550</v>
      </c>
    </row>
    <row r="10" spans="1:5" x14ac:dyDescent="0.25">
      <c r="A10" s="3">
        <v>29</v>
      </c>
      <c r="B10" s="4"/>
      <c r="C10" s="4">
        <v>29</v>
      </c>
      <c r="D10" s="4">
        <v>29</v>
      </c>
      <c r="E10" s="4">
        <v>29</v>
      </c>
    </row>
    <row r="11" spans="1:5" x14ac:dyDescent="0.25">
      <c r="A11" s="3">
        <v>5521</v>
      </c>
      <c r="B11" s="4">
        <v>5521</v>
      </c>
      <c r="C11" s="4"/>
      <c r="D11" s="4">
        <v>5521</v>
      </c>
      <c r="E11" s="4">
        <v>5521</v>
      </c>
    </row>
    <row r="12" spans="1:5" x14ac:dyDescent="0.25">
      <c r="A12" s="2" t="s">
        <v>15</v>
      </c>
      <c r="B12" s="4">
        <v>89285</v>
      </c>
      <c r="C12" s="4">
        <v>101053</v>
      </c>
      <c r="D12" s="4">
        <v>190338</v>
      </c>
      <c r="E12" s="4">
        <v>190338</v>
      </c>
    </row>
    <row r="13" spans="1:5" x14ac:dyDescent="0.25">
      <c r="A13" s="3">
        <v>89285</v>
      </c>
      <c r="B13" s="4">
        <v>89285</v>
      </c>
      <c r="C13" s="4"/>
      <c r="D13" s="4">
        <v>89285</v>
      </c>
      <c r="E13" s="4">
        <v>89285</v>
      </c>
    </row>
    <row r="14" spans="1:5" x14ac:dyDescent="0.25">
      <c r="A14" s="3">
        <v>101053</v>
      </c>
      <c r="B14" s="4"/>
      <c r="C14" s="4">
        <v>101053</v>
      </c>
      <c r="D14" s="4">
        <v>101053</v>
      </c>
      <c r="E14" s="4">
        <v>101053</v>
      </c>
    </row>
    <row r="15" spans="1:5" x14ac:dyDescent="0.25">
      <c r="A15" s="2" t="s">
        <v>32</v>
      </c>
      <c r="B15" s="4">
        <v>183738</v>
      </c>
      <c r="C15" s="4">
        <v>202714</v>
      </c>
      <c r="D15" s="4">
        <v>386452</v>
      </c>
      <c r="E15" s="4">
        <v>386452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62CB-B18C-4882-94AE-5C9073F97F4C}">
  <dimension ref="A3:C25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19.5703125" bestFit="1" customWidth="1"/>
    <col min="3" max="3" width="10.7109375" bestFit="1" customWidth="1"/>
    <col min="4" max="11" width="10.28515625" bestFit="1" customWidth="1"/>
    <col min="12" max="12" width="6" bestFit="1" customWidth="1"/>
    <col min="13" max="13" width="9.7109375" bestFit="1" customWidth="1"/>
    <col min="14" max="14" width="10.28515625" bestFit="1" customWidth="1"/>
    <col min="15" max="15" width="10.85546875" bestFit="1" customWidth="1"/>
    <col min="16" max="16" width="10.7109375" bestFit="1" customWidth="1"/>
    <col min="17" max="21" width="10.28515625" bestFit="1" customWidth="1"/>
    <col min="22" max="22" width="10.85546875" bestFit="1" customWidth="1"/>
    <col min="23" max="23" width="9.85546875" bestFit="1" customWidth="1"/>
    <col min="24" max="24" width="10.7109375" bestFit="1" customWidth="1"/>
    <col min="25" max="30" width="10.28515625" bestFit="1" customWidth="1"/>
    <col min="31" max="31" width="13.28515625" bestFit="1" customWidth="1"/>
    <col min="32" max="32" width="9.42578125" bestFit="1" customWidth="1"/>
    <col min="33" max="33" width="8.85546875" bestFit="1" customWidth="1"/>
    <col min="34" max="34" width="10.140625" bestFit="1" customWidth="1"/>
    <col min="35" max="35" width="12.5703125" bestFit="1" customWidth="1"/>
    <col min="36" max="36" width="10.7109375" bestFit="1" customWidth="1"/>
    <col min="37" max="37" width="13.5703125" bestFit="1" customWidth="1"/>
    <col min="38" max="38" width="6" bestFit="1" customWidth="1"/>
    <col min="39" max="39" width="9.5703125" bestFit="1" customWidth="1"/>
    <col min="40" max="40" width="7.42578125" bestFit="1" customWidth="1"/>
    <col min="41" max="41" width="9.85546875" bestFit="1" customWidth="1"/>
    <col min="42" max="43" width="10.7109375" bestFit="1" customWidth="1"/>
    <col min="44" max="44" width="6" bestFit="1" customWidth="1"/>
    <col min="45" max="45" width="7.42578125" bestFit="1" customWidth="1"/>
    <col min="46" max="46" width="11.85546875" bestFit="1" customWidth="1"/>
    <col min="47" max="47" width="9.42578125" bestFit="1" customWidth="1"/>
    <col min="48" max="48" width="8.85546875" bestFit="1" customWidth="1"/>
    <col min="49" max="50" width="10.140625" bestFit="1" customWidth="1"/>
    <col min="51" max="51" width="9.85546875" bestFit="1" customWidth="1"/>
    <col min="52" max="52" width="10.7109375" bestFit="1" customWidth="1"/>
  </cols>
  <sheetData>
    <row r="3" spans="1:3" x14ac:dyDescent="0.25">
      <c r="A3" s="1" t="s">
        <v>33</v>
      </c>
      <c r="B3" s="1" t="s">
        <v>34</v>
      </c>
    </row>
    <row r="4" spans="1:3" x14ac:dyDescent="0.25">
      <c r="A4" s="1" t="s">
        <v>31</v>
      </c>
      <c r="B4" t="s">
        <v>17</v>
      </c>
      <c r="C4" t="s">
        <v>32</v>
      </c>
    </row>
    <row r="5" spans="1:3" x14ac:dyDescent="0.25">
      <c r="A5" s="2">
        <v>2022</v>
      </c>
      <c r="B5" s="4">
        <v>183738</v>
      </c>
      <c r="C5" s="4">
        <v>183738</v>
      </c>
    </row>
    <row r="6" spans="1:3" x14ac:dyDescent="0.25">
      <c r="A6" s="3" t="s">
        <v>19</v>
      </c>
      <c r="B6" s="4">
        <v>22594</v>
      </c>
      <c r="C6" s="4">
        <v>22594</v>
      </c>
    </row>
    <row r="7" spans="1:3" x14ac:dyDescent="0.25">
      <c r="A7" s="3" t="s">
        <v>20</v>
      </c>
      <c r="B7" s="4">
        <v>28010</v>
      </c>
      <c r="C7" s="4">
        <v>28010</v>
      </c>
    </row>
    <row r="8" spans="1:3" x14ac:dyDescent="0.25">
      <c r="A8" s="3" t="s">
        <v>21</v>
      </c>
      <c r="B8" s="4">
        <v>25374</v>
      </c>
      <c r="C8" s="4">
        <v>25374</v>
      </c>
    </row>
    <row r="9" spans="1:3" x14ac:dyDescent="0.25">
      <c r="A9" s="3" t="s">
        <v>22</v>
      </c>
      <c r="B9" s="4">
        <v>26039</v>
      </c>
      <c r="C9" s="4">
        <v>26039</v>
      </c>
    </row>
    <row r="10" spans="1:3" x14ac:dyDescent="0.25">
      <c r="A10" s="3" t="s">
        <v>23</v>
      </c>
      <c r="B10" s="4">
        <v>25158</v>
      </c>
      <c r="C10" s="4">
        <v>25158</v>
      </c>
    </row>
    <row r="11" spans="1:3" x14ac:dyDescent="0.25">
      <c r="A11" s="3" t="s">
        <v>24</v>
      </c>
      <c r="B11" s="4">
        <v>10412</v>
      </c>
      <c r="C11" s="4">
        <v>10412</v>
      </c>
    </row>
    <row r="12" spans="1:3" x14ac:dyDescent="0.25">
      <c r="A12" s="3" t="s">
        <v>18</v>
      </c>
      <c r="B12" s="4">
        <v>19013</v>
      </c>
      <c r="C12" s="4">
        <v>19013</v>
      </c>
    </row>
    <row r="13" spans="1:3" x14ac:dyDescent="0.25">
      <c r="A13" s="3" t="s">
        <v>26</v>
      </c>
      <c r="B13" s="4">
        <v>5494</v>
      </c>
      <c r="C13" s="4">
        <v>5494</v>
      </c>
    </row>
    <row r="14" spans="1:3" x14ac:dyDescent="0.25">
      <c r="A14" s="3" t="s">
        <v>25</v>
      </c>
      <c r="B14" s="4">
        <v>21644</v>
      </c>
      <c r="C14" s="4">
        <v>21644</v>
      </c>
    </row>
    <row r="15" spans="1:3" x14ac:dyDescent="0.25">
      <c r="A15" s="2">
        <v>2023</v>
      </c>
      <c r="B15" s="4">
        <v>202714</v>
      </c>
      <c r="C15" s="4">
        <v>202714</v>
      </c>
    </row>
    <row r="16" spans="1:3" x14ac:dyDescent="0.25">
      <c r="A16" s="3" t="s">
        <v>30</v>
      </c>
      <c r="B16" s="4">
        <v>4092</v>
      </c>
      <c r="C16" s="4">
        <v>4092</v>
      </c>
    </row>
    <row r="17" spans="1:3" x14ac:dyDescent="0.25">
      <c r="A17" s="3" t="s">
        <v>27</v>
      </c>
      <c r="B17" s="4">
        <v>22308</v>
      </c>
      <c r="C17" s="4">
        <v>22308</v>
      </c>
    </row>
    <row r="18" spans="1:3" x14ac:dyDescent="0.25">
      <c r="A18" s="3" t="s">
        <v>19</v>
      </c>
      <c r="B18" s="4">
        <v>25881</v>
      </c>
      <c r="C18" s="4">
        <v>25881</v>
      </c>
    </row>
    <row r="19" spans="1:3" x14ac:dyDescent="0.25">
      <c r="A19" s="3" t="s">
        <v>20</v>
      </c>
      <c r="B19" s="4">
        <v>30820</v>
      </c>
      <c r="C19" s="4">
        <v>30820</v>
      </c>
    </row>
    <row r="20" spans="1:3" x14ac:dyDescent="0.25">
      <c r="A20" s="3" t="s">
        <v>21</v>
      </c>
      <c r="B20" s="4">
        <v>28315</v>
      </c>
      <c r="C20" s="4">
        <v>28315</v>
      </c>
    </row>
    <row r="21" spans="1:3" x14ac:dyDescent="0.25">
      <c r="A21" s="3" t="s">
        <v>22</v>
      </c>
      <c r="B21" s="4">
        <v>29585</v>
      </c>
      <c r="C21" s="4">
        <v>29585</v>
      </c>
    </row>
    <row r="22" spans="1:3" x14ac:dyDescent="0.25">
      <c r="A22" s="3" t="s">
        <v>23</v>
      </c>
      <c r="B22" s="4">
        <v>28270</v>
      </c>
      <c r="C22" s="4">
        <v>28270</v>
      </c>
    </row>
    <row r="23" spans="1:3" x14ac:dyDescent="0.25">
      <c r="A23" s="3" t="s">
        <v>28</v>
      </c>
      <c r="B23" s="4">
        <v>21828</v>
      </c>
      <c r="C23" s="4">
        <v>21828</v>
      </c>
    </row>
    <row r="24" spans="1:3" x14ac:dyDescent="0.25">
      <c r="A24" s="3" t="s">
        <v>29</v>
      </c>
      <c r="B24" s="4">
        <v>11615</v>
      </c>
      <c r="C24" s="4">
        <v>11615</v>
      </c>
    </row>
    <row r="25" spans="1:3" x14ac:dyDescent="0.25">
      <c r="A25" s="2" t="s">
        <v>32</v>
      </c>
      <c r="B25" s="4">
        <v>386452</v>
      </c>
      <c r="C25" s="4">
        <v>386452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0296-D3D2-4A53-8FB3-DB6DAC72BD7C}">
  <dimension ref="A1:D41"/>
  <sheetViews>
    <sheetView workbookViewId="0">
      <selection activeCell="C2" sqref="C2:C9"/>
    </sheetView>
  </sheetViews>
  <sheetFormatPr defaultRowHeight="15" x14ac:dyDescent="0.25"/>
  <cols>
    <col min="1" max="1" width="11.5703125" customWidth="1"/>
    <col min="2" max="2" width="14.5703125" customWidth="1"/>
    <col min="3" max="4" width="1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38</v>
      </c>
      <c r="B2" t="s">
        <v>5</v>
      </c>
      <c r="C2">
        <v>36202</v>
      </c>
      <c r="D2">
        <v>2022</v>
      </c>
    </row>
    <row r="3" spans="1:4" x14ac:dyDescent="0.25">
      <c r="A3" t="s">
        <v>38</v>
      </c>
      <c r="B3" t="s">
        <v>6</v>
      </c>
      <c r="C3">
        <v>5451</v>
      </c>
      <c r="D3">
        <v>2022</v>
      </c>
    </row>
    <row r="4" spans="1:4" x14ac:dyDescent="0.25">
      <c r="A4" t="s">
        <v>38</v>
      </c>
      <c r="B4" t="s">
        <v>7</v>
      </c>
      <c r="C4">
        <v>680</v>
      </c>
      <c r="D4">
        <v>2022</v>
      </c>
    </row>
    <row r="5" spans="1:4" x14ac:dyDescent="0.25">
      <c r="A5" t="s">
        <v>38</v>
      </c>
      <c r="B5" t="s">
        <v>8</v>
      </c>
      <c r="C5">
        <v>42757</v>
      </c>
      <c r="D5">
        <v>2022</v>
      </c>
    </row>
    <row r="6" spans="1:4" x14ac:dyDescent="0.25">
      <c r="A6" t="s">
        <v>38</v>
      </c>
      <c r="B6" t="s">
        <v>5</v>
      </c>
      <c r="C6">
        <v>38946</v>
      </c>
      <c r="D6">
        <v>2023</v>
      </c>
    </row>
    <row r="7" spans="1:4" x14ac:dyDescent="0.25">
      <c r="A7" t="s">
        <v>38</v>
      </c>
      <c r="B7" t="s">
        <v>6</v>
      </c>
      <c r="C7">
        <v>5156</v>
      </c>
      <c r="D7">
        <v>2023</v>
      </c>
    </row>
    <row r="8" spans="1:4" x14ac:dyDescent="0.25">
      <c r="A8" t="s">
        <v>38</v>
      </c>
      <c r="B8" t="s">
        <v>7</v>
      </c>
      <c r="C8">
        <v>772</v>
      </c>
      <c r="D8">
        <v>2023</v>
      </c>
    </row>
    <row r="9" spans="1:4" x14ac:dyDescent="0.25">
      <c r="A9" t="s">
        <v>38</v>
      </c>
      <c r="B9" t="s">
        <v>8</v>
      </c>
      <c r="C9">
        <v>48655</v>
      </c>
      <c r="D9">
        <v>2023</v>
      </c>
    </row>
    <row r="10" spans="1:4" x14ac:dyDescent="0.25">
      <c r="A10" t="s">
        <v>9</v>
      </c>
      <c r="B10" t="s">
        <v>10</v>
      </c>
      <c r="C10">
        <v>120481</v>
      </c>
      <c r="D10">
        <v>2022</v>
      </c>
    </row>
    <row r="11" spans="1:4" x14ac:dyDescent="0.25">
      <c r="A11" t="s">
        <v>9</v>
      </c>
      <c r="B11" t="s">
        <v>11</v>
      </c>
      <c r="C11">
        <v>56209</v>
      </c>
      <c r="D11">
        <v>2022</v>
      </c>
    </row>
    <row r="12" spans="1:4" x14ac:dyDescent="0.25">
      <c r="A12" t="s">
        <v>9</v>
      </c>
      <c r="B12" t="s">
        <v>12</v>
      </c>
      <c r="C12">
        <v>948</v>
      </c>
      <c r="D12">
        <v>2022</v>
      </c>
    </row>
    <row r="13" spans="1:4" x14ac:dyDescent="0.25">
      <c r="A13" t="s">
        <v>9</v>
      </c>
      <c r="B13" t="s">
        <v>13</v>
      </c>
      <c r="C13">
        <v>6100</v>
      </c>
      <c r="D13">
        <v>2022</v>
      </c>
    </row>
    <row r="14" spans="1:4" x14ac:dyDescent="0.25">
      <c r="A14" t="s">
        <v>9</v>
      </c>
      <c r="B14" t="s">
        <v>10</v>
      </c>
      <c r="C14">
        <v>133700</v>
      </c>
      <c r="D14">
        <v>2023</v>
      </c>
    </row>
    <row r="15" spans="1:4" x14ac:dyDescent="0.25">
      <c r="A15" t="s">
        <v>9</v>
      </c>
      <c r="B15" t="s">
        <v>11</v>
      </c>
      <c r="C15">
        <v>61618</v>
      </c>
      <c r="D15">
        <v>2023</v>
      </c>
    </row>
    <row r="16" spans="1:4" x14ac:dyDescent="0.25">
      <c r="A16" t="s">
        <v>9</v>
      </c>
      <c r="B16" t="s">
        <v>12</v>
      </c>
      <c r="C16">
        <v>1076</v>
      </c>
      <c r="D16">
        <v>2023</v>
      </c>
    </row>
    <row r="17" spans="1:4" x14ac:dyDescent="0.25">
      <c r="A17" t="s">
        <v>9</v>
      </c>
      <c r="B17" t="s">
        <v>13</v>
      </c>
      <c r="C17">
        <v>6320</v>
      </c>
      <c r="D17">
        <v>2023</v>
      </c>
    </row>
    <row r="18" spans="1:4" x14ac:dyDescent="0.25">
      <c r="A18" t="s">
        <v>14</v>
      </c>
      <c r="B18" t="s">
        <v>15</v>
      </c>
      <c r="C18">
        <v>89285</v>
      </c>
      <c r="D18">
        <v>2022</v>
      </c>
    </row>
    <row r="19" spans="1:4" x14ac:dyDescent="0.25">
      <c r="A19" t="s">
        <v>14</v>
      </c>
      <c r="B19" t="s">
        <v>16</v>
      </c>
      <c r="C19">
        <v>88932</v>
      </c>
      <c r="D19">
        <v>2022</v>
      </c>
    </row>
    <row r="20" spans="1:4" x14ac:dyDescent="0.25">
      <c r="A20" t="s">
        <v>14</v>
      </c>
      <c r="B20" t="s">
        <v>13</v>
      </c>
      <c r="C20">
        <v>5521</v>
      </c>
      <c r="D20">
        <v>2022</v>
      </c>
    </row>
    <row r="21" spans="1:4" x14ac:dyDescent="0.25">
      <c r="A21" t="s">
        <v>14</v>
      </c>
      <c r="B21" t="s">
        <v>15</v>
      </c>
      <c r="C21">
        <v>101053</v>
      </c>
      <c r="D21">
        <v>2023</v>
      </c>
    </row>
    <row r="22" spans="1:4" x14ac:dyDescent="0.25">
      <c r="A22" t="s">
        <v>14</v>
      </c>
      <c r="B22" t="s">
        <v>16</v>
      </c>
      <c r="C22">
        <v>101632</v>
      </c>
      <c r="D22">
        <v>2023</v>
      </c>
    </row>
    <row r="23" spans="1:4" x14ac:dyDescent="0.25">
      <c r="A23" t="s">
        <v>14</v>
      </c>
      <c r="B23" t="s">
        <v>13</v>
      </c>
      <c r="C23">
        <v>29</v>
      </c>
      <c r="D23">
        <v>2023</v>
      </c>
    </row>
    <row r="24" spans="1:4" x14ac:dyDescent="0.25">
      <c r="A24" t="s">
        <v>17</v>
      </c>
      <c r="B24" t="s">
        <v>18</v>
      </c>
      <c r="C24">
        <v>19013</v>
      </c>
      <c r="D24">
        <v>2022</v>
      </c>
    </row>
    <row r="25" spans="1:4" x14ac:dyDescent="0.25">
      <c r="A25" t="s">
        <v>17</v>
      </c>
      <c r="B25" t="s">
        <v>19</v>
      </c>
      <c r="C25">
        <v>22594</v>
      </c>
      <c r="D25">
        <v>2022</v>
      </c>
    </row>
    <row r="26" spans="1:4" x14ac:dyDescent="0.25">
      <c r="A26" t="s">
        <v>17</v>
      </c>
      <c r="B26" t="s">
        <v>20</v>
      </c>
      <c r="C26">
        <v>28010</v>
      </c>
      <c r="D26">
        <v>2022</v>
      </c>
    </row>
    <row r="27" spans="1:4" x14ac:dyDescent="0.25">
      <c r="A27" t="s">
        <v>17</v>
      </c>
      <c r="B27" t="s">
        <v>21</v>
      </c>
      <c r="C27">
        <v>25374</v>
      </c>
      <c r="D27">
        <v>2022</v>
      </c>
    </row>
    <row r="28" spans="1:4" x14ac:dyDescent="0.25">
      <c r="A28" t="s">
        <v>17</v>
      </c>
      <c r="B28" t="s">
        <v>22</v>
      </c>
      <c r="C28">
        <v>26039</v>
      </c>
      <c r="D28">
        <v>2022</v>
      </c>
    </row>
    <row r="29" spans="1:4" x14ac:dyDescent="0.25">
      <c r="A29" t="s">
        <v>17</v>
      </c>
      <c r="B29" t="s">
        <v>23</v>
      </c>
      <c r="C29">
        <v>25158</v>
      </c>
      <c r="D29">
        <v>2022</v>
      </c>
    </row>
    <row r="30" spans="1:4" x14ac:dyDescent="0.25">
      <c r="A30" t="s">
        <v>17</v>
      </c>
      <c r="B30" t="s">
        <v>24</v>
      </c>
      <c r="C30">
        <v>10412</v>
      </c>
      <c r="D30">
        <v>2022</v>
      </c>
    </row>
    <row r="31" spans="1:4" x14ac:dyDescent="0.25">
      <c r="A31" t="s">
        <v>17</v>
      </c>
      <c r="B31" t="s">
        <v>25</v>
      </c>
      <c r="C31">
        <v>21644</v>
      </c>
      <c r="D31">
        <v>2022</v>
      </c>
    </row>
    <row r="32" spans="1:4" x14ac:dyDescent="0.25">
      <c r="A32" t="s">
        <v>17</v>
      </c>
      <c r="B32" t="s">
        <v>26</v>
      </c>
      <c r="C32">
        <v>5494</v>
      </c>
      <c r="D32">
        <v>2022</v>
      </c>
    </row>
    <row r="33" spans="1:4" x14ac:dyDescent="0.25">
      <c r="A33" t="s">
        <v>17</v>
      </c>
      <c r="B33" t="s">
        <v>27</v>
      </c>
      <c r="C33">
        <v>22308</v>
      </c>
      <c r="D33">
        <v>2023</v>
      </c>
    </row>
    <row r="34" spans="1:4" x14ac:dyDescent="0.25">
      <c r="A34" t="s">
        <v>17</v>
      </c>
      <c r="B34" t="s">
        <v>19</v>
      </c>
      <c r="C34">
        <v>25881</v>
      </c>
      <c r="D34">
        <v>2023</v>
      </c>
    </row>
    <row r="35" spans="1:4" x14ac:dyDescent="0.25">
      <c r="A35" t="s">
        <v>17</v>
      </c>
      <c r="B35" t="s">
        <v>20</v>
      </c>
      <c r="C35">
        <v>30820</v>
      </c>
      <c r="D35">
        <v>2023</v>
      </c>
    </row>
    <row r="36" spans="1:4" x14ac:dyDescent="0.25">
      <c r="A36" t="s">
        <v>17</v>
      </c>
      <c r="B36" t="s">
        <v>21</v>
      </c>
      <c r="C36">
        <v>28315</v>
      </c>
      <c r="D36">
        <v>2023</v>
      </c>
    </row>
    <row r="37" spans="1:4" x14ac:dyDescent="0.25">
      <c r="A37" t="s">
        <v>17</v>
      </c>
      <c r="B37" t="s">
        <v>22</v>
      </c>
      <c r="C37">
        <v>29585</v>
      </c>
      <c r="D37">
        <v>2023</v>
      </c>
    </row>
    <row r="38" spans="1:4" x14ac:dyDescent="0.25">
      <c r="A38" t="s">
        <v>17</v>
      </c>
      <c r="B38" t="s">
        <v>23</v>
      </c>
      <c r="C38">
        <v>28270</v>
      </c>
      <c r="D38">
        <v>2023</v>
      </c>
    </row>
    <row r="39" spans="1:4" x14ac:dyDescent="0.25">
      <c r="A39" t="s">
        <v>17</v>
      </c>
      <c r="B39" t="s">
        <v>28</v>
      </c>
      <c r="C39">
        <v>21828</v>
      </c>
      <c r="D39">
        <v>2023</v>
      </c>
    </row>
    <row r="40" spans="1:4" x14ac:dyDescent="0.25">
      <c r="A40" t="s">
        <v>17</v>
      </c>
      <c r="B40" t="s">
        <v>29</v>
      </c>
      <c r="C40">
        <v>11615</v>
      </c>
      <c r="D40">
        <v>2023</v>
      </c>
    </row>
    <row r="41" spans="1:4" x14ac:dyDescent="0.25">
      <c r="A41" t="s">
        <v>17</v>
      </c>
      <c r="B41" t="s">
        <v>30</v>
      </c>
      <c r="C41">
        <v>4092</v>
      </c>
      <c r="D41">
        <v>2023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74C5-A834-4DC9-8A94-DDFDBC4073DD}">
  <dimension ref="A1:Z55"/>
  <sheetViews>
    <sheetView tabSelected="1" topLeftCell="A6" zoomScale="55" zoomScaleNormal="55" workbookViewId="0">
      <selection activeCell="Z22" sqref="Z22"/>
    </sheetView>
  </sheetViews>
  <sheetFormatPr defaultRowHeight="15" x14ac:dyDescent="0.25"/>
  <sheetData>
    <row r="1" spans="1:2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estados</vt:lpstr>
      <vt:lpstr>regiões</vt:lpstr>
      <vt:lpstr>Sexo</vt:lpstr>
      <vt:lpstr>Idade</vt:lpstr>
      <vt:lpstr>Dados</vt:lpstr>
      <vt:lpstr>Darshbord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koguchi</dc:creator>
  <cp:lastModifiedBy>keiji koguchi</cp:lastModifiedBy>
  <dcterms:created xsi:type="dcterms:W3CDTF">2026-06-25T18:02:16Z</dcterms:created>
  <dcterms:modified xsi:type="dcterms:W3CDTF">2026-06-25T20:57:13Z</dcterms:modified>
</cp:coreProperties>
</file>